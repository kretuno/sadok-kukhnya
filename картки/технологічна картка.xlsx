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I34" i="1"/>
  <c r="G34"/>
  <c r="E34"/>
  <c r="C34"/>
  <c r="I33"/>
  <c r="G33"/>
  <c r="E33"/>
  <c r="C33"/>
  <c r="I32"/>
  <c r="G32"/>
  <c r="E32"/>
  <c r="C32"/>
  <c r="I31"/>
  <c r="G31"/>
  <c r="E31"/>
  <c r="C31"/>
  <c r="N20"/>
  <c r="M20"/>
  <c r="L20"/>
  <c r="K20"/>
  <c r="J20"/>
  <c r="I20"/>
  <c r="H20"/>
  <c r="G20"/>
  <c r="F20"/>
  <c r="E20"/>
  <c r="N19"/>
  <c r="M19"/>
  <c r="L19"/>
  <c r="K19"/>
  <c r="J19"/>
  <c r="I19"/>
  <c r="H19"/>
  <c r="G19"/>
  <c r="F19"/>
  <c r="E19"/>
  <c r="N18"/>
  <c r="M18"/>
  <c r="L18"/>
  <c r="K18"/>
  <c r="J18"/>
  <c r="I18"/>
  <c r="H18"/>
  <c r="G18"/>
  <c r="F18"/>
  <c r="E18"/>
  <c r="N17"/>
  <c r="M17"/>
  <c r="L17"/>
  <c r="K17"/>
  <c r="J17"/>
  <c r="I17"/>
  <c r="H17"/>
  <c r="G17"/>
  <c r="F17"/>
  <c r="E17"/>
  <c r="N16"/>
  <c r="M16"/>
  <c r="L16"/>
  <c r="K16"/>
  <c r="J16"/>
  <c r="I16"/>
  <c r="H16"/>
  <c r="G16"/>
  <c r="F16"/>
  <c r="E16"/>
  <c r="N15"/>
  <c r="M15"/>
  <c r="L15"/>
  <c r="K15"/>
  <c r="J15"/>
  <c r="I15"/>
  <c r="H15"/>
  <c r="G15"/>
  <c r="F15"/>
  <c r="E15"/>
  <c r="N14"/>
  <c r="M14"/>
  <c r="L14"/>
  <c r="K14"/>
  <c r="J14"/>
  <c r="I14"/>
  <c r="H14"/>
  <c r="G14"/>
  <c r="F14"/>
  <c r="E14"/>
  <c r="N13"/>
  <c r="M13"/>
  <c r="L13"/>
  <c r="K13"/>
  <c r="J13"/>
  <c r="I13"/>
  <c r="H13"/>
  <c r="G13"/>
  <c r="F13"/>
  <c r="E13"/>
  <c r="N12"/>
  <c r="L12"/>
  <c r="J12"/>
  <c r="H12"/>
  <c r="F12"/>
  <c r="N11"/>
  <c r="M11"/>
  <c r="L11"/>
  <c r="K11"/>
  <c r="J11"/>
  <c r="I11"/>
  <c r="H11"/>
  <c r="G11"/>
  <c r="F11"/>
  <c r="E11"/>
</calcChain>
</file>

<file path=xl/sharedStrings.xml><?xml version="1.0" encoding="utf-8"?>
<sst xmlns="http://schemas.openxmlformats.org/spreadsheetml/2006/main" count="47" uniqueCount="37">
  <si>
    <t>рец.36 стор.33</t>
  </si>
  <si>
    <t>ЗАТВЕРДЖУЮ</t>
  </si>
  <si>
    <t>Збірник рецептур страв  для харчювання школярів</t>
  </si>
  <si>
    <t xml:space="preserve">Директор </t>
  </si>
  <si>
    <t>______________________</t>
  </si>
  <si>
    <t>_____________ 2022р.</t>
  </si>
  <si>
    <t xml:space="preserve">             Технологічна карта № </t>
  </si>
  <si>
    <t xml:space="preserve">Салат з білокачаної капусти </t>
  </si>
  <si>
    <t>№ з/п</t>
  </si>
  <si>
    <t>Найменування сировини</t>
  </si>
  <si>
    <t>Маса, г</t>
  </si>
  <si>
    <t xml:space="preserve">Норма вмісту на 1 порцію, г </t>
  </si>
  <si>
    <t>брутто, г</t>
  </si>
  <si>
    <t>нетто, г</t>
  </si>
  <si>
    <t>Капуста білокачанна</t>
  </si>
  <si>
    <t xml:space="preserve">Маса прогрітої капусти </t>
  </si>
  <si>
    <t xml:space="preserve">Цибуля ріпчаста </t>
  </si>
  <si>
    <t xml:space="preserve">Цибуля зелена </t>
  </si>
  <si>
    <t>або морква до 01.01</t>
  </si>
  <si>
    <t xml:space="preserve">Кислота лимонна </t>
  </si>
  <si>
    <t xml:space="preserve">Вода </t>
  </si>
  <si>
    <t xml:space="preserve">Цукор </t>
  </si>
  <si>
    <t>Олія соняшникова рафінована</t>
  </si>
  <si>
    <t>Сіль йодована</t>
  </si>
  <si>
    <t>Вихід готової страви, г</t>
  </si>
  <si>
    <t>Харчові продукти і продовольча сировина з яких виготовляються готові страви, відповідають вимогам чинних нормативно-правових актів України щодо показників якості та безпеки харчових продуктів, упаковки, маркування, транспортування, приймання і зберігання.</t>
  </si>
  <si>
    <t>Технологія приготування страви</t>
  </si>
  <si>
    <r>
      <t xml:space="preserve">Білокачанну капусту нашаткувати додати сіль  (15г на 1кг), лимону кислоту попередньо розведену у воді  і  прогрівають  перемішуючи. Не потрібно перегрівати капусту щоб не була дуже мякою. Прогріту капусту охолоджують, змішують з зеленою цибулею  або морквою нарізаною соломкою, додають цукор та олію.                                                                                      </t>
    </r>
    <r>
      <rPr>
        <b/>
        <i/>
        <sz val="12"/>
        <color rgb="FF000000"/>
        <rFont val="Times New Roman"/>
        <family val="1"/>
        <charset val="204"/>
      </rPr>
      <t>Характеристика готової страви</t>
    </r>
    <r>
      <rPr>
        <sz val="12"/>
        <color rgb="FF000000"/>
        <rFont val="Times New Roman"/>
        <family val="1"/>
        <charset val="204"/>
      </rPr>
      <t xml:space="preserve">.                                                               </t>
    </r>
    <r>
      <rPr>
        <b/>
        <i/>
        <sz val="12"/>
        <color rgb="FF000000"/>
        <rFont val="Times New Roman"/>
        <family val="1"/>
        <charset val="204"/>
      </rPr>
      <t>Зовнішний вигляд</t>
    </r>
    <r>
      <rPr>
        <sz val="12"/>
        <color rgb="FF000000"/>
        <rFont val="Times New Roman"/>
        <family val="1"/>
        <charset val="204"/>
      </rPr>
      <t xml:space="preserve">- капуста  змішана  з нарізаною цибулею або морквою  та заправлені  олією. </t>
    </r>
    <r>
      <rPr>
        <b/>
        <i/>
        <sz val="12"/>
        <color rgb="FF000000"/>
        <rFont val="Times New Roman"/>
        <family val="1"/>
        <charset val="204"/>
      </rPr>
      <t>Колір</t>
    </r>
    <r>
      <rPr>
        <sz val="12"/>
        <color rgb="FF000000"/>
        <rFont val="Times New Roman"/>
        <family val="1"/>
        <charset val="204"/>
      </rPr>
      <t xml:space="preserve">- характерний   овочам . Смак і запах - в міру солонувато-кисловатий. </t>
    </r>
    <r>
      <rPr>
        <b/>
        <i/>
        <sz val="12"/>
        <color rgb="FF000000"/>
        <rFont val="Times New Roman"/>
        <family val="1"/>
        <charset val="204"/>
      </rPr>
      <t>Консістенція</t>
    </r>
    <r>
      <rPr>
        <sz val="12"/>
        <color rgb="FF000000"/>
        <rFont val="Times New Roman"/>
        <family val="1"/>
        <charset val="204"/>
      </rPr>
      <t xml:space="preserve"> - хрумка, соковита.
</t>
    </r>
  </si>
  <si>
    <t>Термін придатності до споживання та умови зберігання</t>
  </si>
  <si>
    <t>1-2 години. Температура подачі +8-10 °C   Відхиленя від маси порції +-3%</t>
  </si>
  <si>
    <t>ХАРЧОВА (ПОЖИВНА) ТА ЕНЕРГЕТИЧНА ЦІННІСТЬ (КАЛОРІЙНІСТЬ) 1 ПОРЦІЇ:</t>
  </si>
  <si>
    <t>Маса порції, г</t>
  </si>
  <si>
    <t>Білки, г</t>
  </si>
  <si>
    <t>Жири, г</t>
  </si>
  <si>
    <t>Вуглеводи, г</t>
  </si>
  <si>
    <t>Енергетична цінність, ккал</t>
  </si>
  <si>
    <t xml:space="preserve">Карту склав: технолог     </t>
  </si>
</sst>
</file>

<file path=xl/styles.xml><?xml version="1.0" encoding="utf-8"?>
<styleSheet xmlns="http://schemas.openxmlformats.org/spreadsheetml/2006/main">
  <numFmts count="1">
    <numFmt numFmtId="164" formatCode="0.0"/>
  </numFmts>
  <fonts count="17"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b/>
      <sz val="12"/>
      <color rgb="FF980000"/>
      <name val="Times New Roman"/>
      <family val="1"/>
      <charset val="204"/>
    </font>
    <font>
      <b/>
      <sz val="12"/>
      <color rgb="FF000000"/>
      <name val="Times"/>
    </font>
    <font>
      <b/>
      <i/>
      <sz val="12"/>
      <color rgb="FF000000"/>
      <name val="Times New Roman"/>
      <family val="1"/>
      <charset val="204"/>
    </font>
    <font>
      <i/>
      <sz val="12"/>
      <color rgb="FF98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color rgb="FF20212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01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 applyAlignment="1">
      <alignment vertical="center"/>
    </xf>
    <xf numFmtId="0" fontId="4" fillId="0" borderId="0" xfId="1" applyFont="1"/>
    <xf numFmtId="0" fontId="4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/>
    </xf>
    <xf numFmtId="0" fontId="7" fillId="0" borderId="17" xfId="1" applyFont="1" applyBorder="1"/>
    <xf numFmtId="2" fontId="3" fillId="2" borderId="18" xfId="1" applyNumberFormat="1" applyFont="1" applyFill="1" applyBorder="1" applyAlignment="1">
      <alignment horizontal="center"/>
    </xf>
    <xf numFmtId="2" fontId="7" fillId="2" borderId="18" xfId="1" applyNumberFormat="1" applyFont="1" applyFill="1" applyBorder="1" applyAlignment="1">
      <alignment horizontal="center"/>
    </xf>
    <xf numFmtId="2" fontId="3" fillId="0" borderId="19" xfId="1" applyNumberFormat="1" applyFont="1" applyBorder="1" applyAlignment="1">
      <alignment horizontal="center"/>
    </xf>
    <xf numFmtId="2" fontId="3" fillId="0" borderId="18" xfId="1" applyNumberFormat="1" applyFont="1" applyBorder="1" applyAlignment="1">
      <alignment horizontal="center"/>
    </xf>
    <xf numFmtId="2" fontId="7" fillId="0" borderId="18" xfId="1" applyNumberFormat="1" applyFont="1" applyBorder="1" applyAlignment="1">
      <alignment horizontal="center"/>
    </xf>
    <xf numFmtId="2" fontId="7" fillId="0" borderId="20" xfId="1" applyNumberFormat="1" applyFont="1" applyBorder="1" applyAlignment="1">
      <alignment horizontal="center"/>
    </xf>
    <xf numFmtId="164" fontId="3" fillId="0" borderId="0" xfId="1" applyNumberFormat="1" applyFont="1"/>
    <xf numFmtId="0" fontId="3" fillId="0" borderId="21" xfId="1" applyFont="1" applyBorder="1" applyAlignment="1">
      <alignment horizontal="center"/>
    </xf>
    <xf numFmtId="0" fontId="7" fillId="0" borderId="22" xfId="1" applyFont="1" applyBorder="1"/>
    <xf numFmtId="2" fontId="3" fillId="2" borderId="23" xfId="1" applyNumberFormat="1" applyFont="1" applyFill="1" applyBorder="1" applyAlignment="1">
      <alignment horizontal="center"/>
    </xf>
    <xf numFmtId="2" fontId="7" fillId="2" borderId="23" xfId="1" applyNumberFormat="1" applyFont="1" applyFill="1" applyBorder="1" applyAlignment="1">
      <alignment horizontal="center"/>
    </xf>
    <xf numFmtId="2" fontId="3" fillId="0" borderId="23" xfId="1" applyNumberFormat="1" applyFont="1" applyBorder="1" applyAlignment="1">
      <alignment horizontal="center"/>
    </xf>
    <xf numFmtId="2" fontId="7" fillId="0" borderId="23" xfId="1" applyNumberFormat="1" applyFont="1" applyBorder="1" applyAlignment="1">
      <alignment horizontal="center"/>
    </xf>
    <xf numFmtId="2" fontId="7" fillId="0" borderId="24" xfId="1" applyNumberFormat="1" applyFont="1" applyBorder="1" applyAlignment="1">
      <alignment horizontal="center"/>
    </xf>
    <xf numFmtId="0" fontId="3" fillId="0" borderId="25" xfId="1" applyFont="1" applyBorder="1" applyAlignment="1">
      <alignment horizontal="center"/>
    </xf>
    <xf numFmtId="0" fontId="8" fillId="0" borderId="0" xfId="1" applyFont="1"/>
    <xf numFmtId="9" fontId="7" fillId="0" borderId="22" xfId="2" applyNumberFormat="1" applyFont="1" applyBorder="1" applyAlignment="1">
      <alignment horizontal="left"/>
    </xf>
    <xf numFmtId="0" fontId="3" fillId="0" borderId="26" xfId="1" applyFont="1" applyBorder="1" applyAlignment="1">
      <alignment horizontal="center"/>
    </xf>
    <xf numFmtId="0" fontId="7" fillId="0" borderId="27" xfId="1" applyFont="1" applyBorder="1" applyAlignment="1">
      <alignment vertical="top"/>
    </xf>
    <xf numFmtId="2" fontId="7" fillId="2" borderId="28" xfId="1" applyNumberFormat="1" applyFont="1" applyFill="1" applyBorder="1" applyAlignment="1">
      <alignment horizontal="center" vertical="top"/>
    </xf>
    <xf numFmtId="2" fontId="7" fillId="0" borderId="28" xfId="1" applyNumberFormat="1" applyFont="1" applyBorder="1" applyAlignment="1">
      <alignment horizontal="center"/>
    </xf>
    <xf numFmtId="2" fontId="3" fillId="0" borderId="28" xfId="1" applyNumberFormat="1" applyFont="1" applyBorder="1" applyAlignment="1">
      <alignment horizontal="center"/>
    </xf>
    <xf numFmtId="2" fontId="7" fillId="0" borderId="29" xfId="1" applyNumberFormat="1" applyFont="1" applyBorder="1" applyAlignment="1">
      <alignment horizontal="center"/>
    </xf>
    <xf numFmtId="0" fontId="7" fillId="0" borderId="0" xfId="1" applyFont="1"/>
    <xf numFmtId="164" fontId="7" fillId="0" borderId="0" xfId="1" applyNumberFormat="1" applyFont="1"/>
    <xf numFmtId="164" fontId="4" fillId="0" borderId="0" xfId="1" applyNumberFormat="1" applyFont="1"/>
    <xf numFmtId="0" fontId="12" fillId="0" borderId="0" xfId="1" applyFont="1"/>
    <xf numFmtId="0" fontId="12" fillId="0" borderId="0" xfId="1" applyFont="1" applyAlignment="1">
      <alignment horizontal="center"/>
    </xf>
    <xf numFmtId="0" fontId="14" fillId="0" borderId="0" xfId="1" applyFont="1" applyAlignment="1">
      <alignment horizontal="left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center" wrapText="1"/>
    </xf>
    <xf numFmtId="0" fontId="16" fillId="2" borderId="0" xfId="1" applyFont="1" applyFill="1"/>
    <xf numFmtId="0" fontId="4" fillId="0" borderId="0" xfId="1" applyFont="1" applyAlignment="1">
      <alignment horizontal="center" vertical="center" wrapText="1"/>
    </xf>
    <xf numFmtId="0" fontId="5" fillId="0" borderId="0" xfId="1" applyFont="1"/>
    <xf numFmtId="0" fontId="9" fillId="0" borderId="0" xfId="2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3" fillId="0" borderId="23" xfId="1" applyFont="1" applyBorder="1" applyAlignment="1">
      <alignment horizontal="center"/>
    </xf>
    <xf numFmtId="0" fontId="5" fillId="0" borderId="23" xfId="1" applyFont="1" applyBorder="1"/>
    <xf numFmtId="2" fontId="3" fillId="0" borderId="36" xfId="1" applyNumberFormat="1" applyFont="1" applyBorder="1" applyAlignment="1">
      <alignment horizontal="center"/>
    </xf>
    <xf numFmtId="2" fontId="3" fillId="0" borderId="37" xfId="1" applyNumberFormat="1" applyFont="1" applyBorder="1" applyAlignment="1">
      <alignment horizontal="center"/>
    </xf>
    <xf numFmtId="164" fontId="3" fillId="0" borderId="23" xfId="1" applyNumberFormat="1" applyFont="1" applyBorder="1" applyAlignment="1">
      <alignment horizontal="center"/>
    </xf>
    <xf numFmtId="2" fontId="3" fillId="0" borderId="0" xfId="1" applyNumberFormat="1" applyFont="1" applyAlignment="1">
      <alignment horizontal="center"/>
    </xf>
    <xf numFmtId="0" fontId="5" fillId="0" borderId="0" xfId="1" applyFont="1"/>
    <xf numFmtId="164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 vertical="center" wrapText="1"/>
    </xf>
    <xf numFmtId="0" fontId="3" fillId="0" borderId="36" xfId="1" applyFont="1" applyBorder="1" applyAlignment="1">
      <alignment horizontal="center" vertical="center"/>
    </xf>
    <xf numFmtId="0" fontId="3" fillId="0" borderId="37" xfId="1" applyFont="1" applyBorder="1" applyAlignment="1">
      <alignment horizontal="center" vertical="center"/>
    </xf>
    <xf numFmtId="0" fontId="3" fillId="0" borderId="36" xfId="1" applyFont="1" applyBorder="1" applyAlignment="1">
      <alignment horizontal="center" vertical="center" wrapText="1"/>
    </xf>
    <xf numFmtId="0" fontId="3" fillId="0" borderId="37" xfId="1" applyFont="1" applyBorder="1" applyAlignment="1">
      <alignment horizontal="center" vertical="center" wrapText="1"/>
    </xf>
    <xf numFmtId="2" fontId="3" fillId="0" borderId="36" xfId="1" applyNumberFormat="1" applyFont="1" applyBorder="1" applyAlignment="1">
      <alignment horizontal="center" vertical="center"/>
    </xf>
    <xf numFmtId="2" fontId="3" fillId="0" borderId="37" xfId="1" applyNumberFormat="1" applyFont="1" applyBorder="1" applyAlignment="1">
      <alignment horizontal="center" vertical="center"/>
    </xf>
    <xf numFmtId="2" fontId="3" fillId="0" borderId="36" xfId="1" applyNumberFormat="1" applyFont="1" applyBorder="1" applyAlignment="1">
      <alignment horizontal="center" vertical="center" wrapText="1"/>
    </xf>
    <xf numFmtId="2" fontId="3" fillId="0" borderId="37" xfId="1" applyNumberFormat="1" applyFont="1" applyBorder="1" applyAlignment="1">
      <alignment horizontal="center" vertical="center" wrapText="1"/>
    </xf>
    <xf numFmtId="2" fontId="3" fillId="0" borderId="23" xfId="1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1" fillId="0" borderId="0" xfId="1"/>
    <xf numFmtId="0" fontId="4" fillId="0" borderId="23" xfId="1" applyFont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/>
    </xf>
    <xf numFmtId="0" fontId="4" fillId="0" borderId="23" xfId="1" applyFont="1" applyBorder="1" applyAlignme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30" xfId="1" applyFont="1" applyBorder="1" applyAlignment="1">
      <alignment horizontal="center" vertical="center"/>
    </xf>
    <xf numFmtId="0" fontId="5" fillId="0" borderId="31" xfId="1" applyFont="1" applyBorder="1"/>
    <xf numFmtId="0" fontId="11" fillId="0" borderId="5" xfId="1" applyFont="1" applyBorder="1" applyAlignment="1">
      <alignment horizontal="left" wrapText="1"/>
    </xf>
    <xf numFmtId="0" fontId="5" fillId="0" borderId="5" xfId="1" applyFont="1" applyBorder="1"/>
    <xf numFmtId="0" fontId="7" fillId="0" borderId="0" xfId="1" applyFont="1" applyAlignment="1">
      <alignment horizontal="left" vertical="center" wrapText="1"/>
    </xf>
    <xf numFmtId="0" fontId="15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vertical="top" wrapText="1"/>
    </xf>
    <xf numFmtId="0" fontId="5" fillId="0" borderId="7" xfId="1" applyFont="1" applyBorder="1"/>
    <xf numFmtId="0" fontId="4" fillId="0" borderId="2" xfId="1" applyFont="1" applyBorder="1" applyAlignment="1">
      <alignment horizontal="center" vertical="center"/>
    </xf>
    <xf numFmtId="0" fontId="5" fillId="0" borderId="3" xfId="1" applyFont="1" applyBorder="1"/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left" vertical="center"/>
    </xf>
    <xf numFmtId="0" fontId="4" fillId="2" borderId="30" xfId="1" applyFont="1" applyFill="1" applyBorder="1" applyAlignment="1">
      <alignment horizontal="center" vertical="center"/>
    </xf>
    <xf numFmtId="0" fontId="5" fillId="0" borderId="32" xfId="1" applyFont="1" applyBorder="1"/>
    <xf numFmtId="0" fontId="10" fillId="0" borderId="33" xfId="1" applyFont="1" applyBorder="1" applyAlignment="1">
      <alignment horizontal="center"/>
    </xf>
    <xf numFmtId="0" fontId="10" fillId="0" borderId="12" xfId="1" applyFont="1" applyBorder="1" applyAlignment="1">
      <alignment horizontal="center"/>
    </xf>
    <xf numFmtId="0" fontId="10" fillId="0" borderId="34" xfId="1" applyFont="1" applyBorder="1" applyAlignment="1">
      <alignment horizontal="center"/>
    </xf>
    <xf numFmtId="0" fontId="10" fillId="0" borderId="35" xfId="1" applyFont="1" applyBorder="1" applyAlignment="1">
      <alignment horizontal="center"/>
    </xf>
  </cellXfs>
  <cellStyles count="3">
    <cellStyle name="Обычный" xfId="0" builtinId="0"/>
    <cellStyle name="Обычный 2 2 2" xfId="2"/>
    <cellStyle name="Обычный 2 2 2 2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R37"/>
  <sheetViews>
    <sheetView tabSelected="1" workbookViewId="0">
      <selection activeCell="U16" sqref="U16"/>
    </sheetView>
  </sheetViews>
  <sheetFormatPr defaultRowHeight="15"/>
  <sheetData>
    <row r="3" spans="1:18" ht="15.75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3" t="s">
        <v>1</v>
      </c>
      <c r="L3" s="3"/>
      <c r="M3" s="2"/>
      <c r="N3" s="2"/>
      <c r="O3" s="2"/>
      <c r="P3" s="2"/>
      <c r="Q3" s="2"/>
      <c r="R3" s="2"/>
    </row>
    <row r="4" spans="1:18" ht="15.75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3" t="s">
        <v>3</v>
      </c>
      <c r="L4" s="3"/>
      <c r="M4" s="2"/>
      <c r="N4" s="2"/>
      <c r="O4" s="2"/>
      <c r="P4" s="2"/>
      <c r="Q4" s="2"/>
      <c r="R4" s="2"/>
    </row>
    <row r="5" spans="1:18" ht="15.75">
      <c r="A5" s="2"/>
      <c r="B5" s="2"/>
      <c r="C5" s="2"/>
      <c r="D5" s="2"/>
      <c r="E5" s="2"/>
      <c r="F5" s="2"/>
      <c r="G5" s="2"/>
      <c r="H5" s="2"/>
      <c r="I5" s="2"/>
      <c r="J5" s="2"/>
      <c r="K5" s="3" t="s">
        <v>4</v>
      </c>
      <c r="L5" s="3"/>
      <c r="M5" s="2"/>
      <c r="N5" s="2"/>
      <c r="O5" s="2"/>
      <c r="P5" s="2"/>
      <c r="Q5" s="2"/>
      <c r="R5" s="2"/>
    </row>
    <row r="6" spans="1:18" ht="15.75">
      <c r="A6" s="2"/>
      <c r="B6" s="2"/>
      <c r="C6" s="2"/>
      <c r="D6" s="2"/>
      <c r="E6" s="2"/>
      <c r="F6" s="2"/>
      <c r="G6" s="2"/>
      <c r="H6" s="2"/>
      <c r="I6" s="2"/>
      <c r="J6" s="2"/>
      <c r="K6" s="3" t="s">
        <v>5</v>
      </c>
      <c r="L6" s="3"/>
      <c r="M6" s="2"/>
      <c r="N6" s="2"/>
      <c r="O6" s="2"/>
      <c r="P6" s="2"/>
      <c r="Q6" s="2"/>
      <c r="R6" s="2"/>
    </row>
    <row r="7" spans="1:18" ht="15.75">
      <c r="A7" s="73" t="s">
        <v>6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2"/>
      <c r="P7" s="2"/>
      <c r="Q7" s="2"/>
      <c r="R7" s="2"/>
    </row>
    <row r="8" spans="1:18" ht="16.5" thickBot="1">
      <c r="A8" s="85" t="s">
        <v>7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2"/>
      <c r="P8" s="2"/>
      <c r="Q8" s="2"/>
      <c r="R8" s="2"/>
    </row>
    <row r="9" spans="1:18" ht="63.75" thickBot="1">
      <c r="A9" s="86" t="s">
        <v>8</v>
      </c>
      <c r="B9" s="5" t="s">
        <v>9</v>
      </c>
      <c r="C9" s="88" t="s">
        <v>10</v>
      </c>
      <c r="D9" s="89"/>
      <c r="E9" s="90" t="s">
        <v>11</v>
      </c>
      <c r="F9" s="91"/>
      <c r="G9" s="91"/>
      <c r="H9" s="91"/>
      <c r="I9" s="92"/>
      <c r="J9" s="92"/>
      <c r="K9" s="92"/>
      <c r="L9" s="92"/>
      <c r="M9" s="92"/>
      <c r="N9" s="93"/>
      <c r="O9" s="2"/>
      <c r="P9" s="2"/>
      <c r="Q9" s="2"/>
      <c r="R9" s="2"/>
    </row>
    <row r="10" spans="1:18" ht="16.5" thickBot="1">
      <c r="A10" s="87"/>
      <c r="B10" s="6"/>
      <c r="C10" s="7" t="s">
        <v>12</v>
      </c>
      <c r="D10" s="8" t="s">
        <v>13</v>
      </c>
      <c r="E10" s="9" t="s">
        <v>12</v>
      </c>
      <c r="F10" s="10" t="s">
        <v>13</v>
      </c>
      <c r="G10" s="11" t="s">
        <v>12</v>
      </c>
      <c r="H10" s="12" t="s">
        <v>13</v>
      </c>
      <c r="I10" s="13" t="s">
        <v>12</v>
      </c>
      <c r="J10" s="14" t="s">
        <v>13</v>
      </c>
      <c r="K10" s="13" t="s">
        <v>12</v>
      </c>
      <c r="L10" s="15" t="s">
        <v>13</v>
      </c>
      <c r="M10" s="7" t="s">
        <v>12</v>
      </c>
      <c r="N10" s="15" t="s">
        <v>13</v>
      </c>
      <c r="O10" s="2"/>
      <c r="P10" s="2"/>
      <c r="Q10" s="2"/>
      <c r="R10" s="4"/>
    </row>
    <row r="11" spans="1:18" ht="15.75">
      <c r="A11" s="16">
        <v>1</v>
      </c>
      <c r="B11" s="17" t="s">
        <v>14</v>
      </c>
      <c r="C11" s="18">
        <v>986</v>
      </c>
      <c r="D11" s="19">
        <v>789</v>
      </c>
      <c r="E11" s="20">
        <f>C11*25/1000</f>
        <v>24.65</v>
      </c>
      <c r="F11" s="20">
        <f>D11*25/1000</f>
        <v>19.725000000000001</v>
      </c>
      <c r="G11" s="20">
        <f>C11*35/1000</f>
        <v>34.51</v>
      </c>
      <c r="H11" s="20">
        <f>D11*35/1000</f>
        <v>27.614999999999998</v>
      </c>
      <c r="I11" s="21">
        <f>C11*50/1000</f>
        <v>49.3</v>
      </c>
      <c r="J11" s="21">
        <f>D11*50/1000</f>
        <v>39.450000000000003</v>
      </c>
      <c r="K11" s="21">
        <f t="shared" ref="K11:L20" si="0">C11*75/1000</f>
        <v>73.95</v>
      </c>
      <c r="L11" s="21">
        <f t="shared" si="0"/>
        <v>59.174999999999997</v>
      </c>
      <c r="M11" s="22">
        <f t="shared" ref="M11:N20" si="1">C11*100/1000</f>
        <v>98.6</v>
      </c>
      <c r="N11" s="23">
        <f t="shared" si="1"/>
        <v>78.900000000000006</v>
      </c>
      <c r="O11" s="2"/>
      <c r="P11" s="2"/>
      <c r="Q11" s="24"/>
      <c r="R11" s="24"/>
    </row>
    <row r="12" spans="1:18" ht="15.75">
      <c r="A12" s="25"/>
      <c r="B12" s="26" t="s">
        <v>15</v>
      </c>
      <c r="C12" s="27"/>
      <c r="D12" s="28">
        <v>710</v>
      </c>
      <c r="E12" s="28"/>
      <c r="F12" s="29">
        <f t="shared" ref="F12:F20" si="2">D12*25/1000</f>
        <v>17.75</v>
      </c>
      <c r="G12" s="28"/>
      <c r="H12" s="29">
        <f t="shared" ref="H12:H20" si="3">D12*35/1000</f>
        <v>24.85</v>
      </c>
      <c r="I12" s="29"/>
      <c r="J12" s="29">
        <f t="shared" ref="J12:J20" si="4">D12*50/1000</f>
        <v>35.5</v>
      </c>
      <c r="K12" s="29"/>
      <c r="L12" s="29">
        <f t="shared" si="0"/>
        <v>53.25</v>
      </c>
      <c r="M12" s="30"/>
      <c r="N12" s="31">
        <f t="shared" si="1"/>
        <v>71</v>
      </c>
      <c r="O12" s="2"/>
      <c r="P12" s="2"/>
      <c r="Q12" s="24"/>
      <c r="R12" s="24"/>
    </row>
    <row r="13" spans="1:18" ht="15.75">
      <c r="A13" s="25"/>
      <c r="B13" s="26" t="s">
        <v>16</v>
      </c>
      <c r="C13" s="27">
        <v>119</v>
      </c>
      <c r="D13" s="28">
        <v>100</v>
      </c>
      <c r="E13" s="29">
        <f>C13*25/1000</f>
        <v>2.9750000000000001</v>
      </c>
      <c r="F13" s="29">
        <f t="shared" si="2"/>
        <v>2.5</v>
      </c>
      <c r="G13" s="29">
        <f>C13*35/1000</f>
        <v>4.165</v>
      </c>
      <c r="H13" s="29">
        <f t="shared" si="3"/>
        <v>3.5</v>
      </c>
      <c r="I13" s="29">
        <f t="shared" ref="I13:I20" si="5">C13*50/1000</f>
        <v>5.95</v>
      </c>
      <c r="J13" s="29">
        <f t="shared" si="4"/>
        <v>5</v>
      </c>
      <c r="K13" s="29">
        <f t="shared" si="0"/>
        <v>8.9250000000000007</v>
      </c>
      <c r="L13" s="29">
        <f t="shared" si="0"/>
        <v>7.5</v>
      </c>
      <c r="M13" s="30">
        <f t="shared" si="1"/>
        <v>11.9</v>
      </c>
      <c r="N13" s="31">
        <f t="shared" si="1"/>
        <v>10</v>
      </c>
      <c r="O13" s="2"/>
      <c r="P13" s="2"/>
      <c r="Q13" s="24"/>
      <c r="R13" s="24"/>
    </row>
    <row r="14" spans="1:18" ht="15.75">
      <c r="A14" s="32">
        <v>2</v>
      </c>
      <c r="B14" s="26" t="s">
        <v>17</v>
      </c>
      <c r="C14" s="27">
        <v>125</v>
      </c>
      <c r="D14" s="28">
        <v>100</v>
      </c>
      <c r="E14" s="29">
        <f t="shared" ref="E14:E20" si="6">C14*25/1000</f>
        <v>3.125</v>
      </c>
      <c r="F14" s="29">
        <f t="shared" si="2"/>
        <v>2.5</v>
      </c>
      <c r="G14" s="29">
        <f t="shared" ref="G14:G20" si="7">C14*35/1000</f>
        <v>4.375</v>
      </c>
      <c r="H14" s="29">
        <f t="shared" si="3"/>
        <v>3.5</v>
      </c>
      <c r="I14" s="29">
        <f t="shared" si="5"/>
        <v>6.25</v>
      </c>
      <c r="J14" s="29">
        <f t="shared" si="4"/>
        <v>5</v>
      </c>
      <c r="K14" s="29">
        <f t="shared" si="0"/>
        <v>9.375</v>
      </c>
      <c r="L14" s="29">
        <f t="shared" si="0"/>
        <v>7.5</v>
      </c>
      <c r="M14" s="30">
        <f t="shared" si="1"/>
        <v>12.5</v>
      </c>
      <c r="N14" s="31">
        <f t="shared" si="1"/>
        <v>10</v>
      </c>
      <c r="O14" s="2"/>
      <c r="P14" s="33"/>
      <c r="Q14" s="24"/>
      <c r="R14" s="24"/>
    </row>
    <row r="15" spans="1:18" ht="15.75">
      <c r="A15" s="32"/>
      <c r="B15" s="26" t="s">
        <v>18</v>
      </c>
      <c r="C15" s="27">
        <v>125</v>
      </c>
      <c r="D15" s="28">
        <v>100</v>
      </c>
      <c r="E15" s="29">
        <f t="shared" si="6"/>
        <v>3.125</v>
      </c>
      <c r="F15" s="29">
        <f t="shared" si="2"/>
        <v>2.5</v>
      </c>
      <c r="G15" s="29">
        <f t="shared" si="7"/>
        <v>4.375</v>
      </c>
      <c r="H15" s="29">
        <f t="shared" si="3"/>
        <v>3.5</v>
      </c>
      <c r="I15" s="29">
        <f t="shared" si="5"/>
        <v>6.25</v>
      </c>
      <c r="J15" s="29">
        <f t="shared" si="4"/>
        <v>5</v>
      </c>
      <c r="K15" s="29">
        <f t="shared" si="0"/>
        <v>9.375</v>
      </c>
      <c r="L15" s="29">
        <f t="shared" si="0"/>
        <v>7.5</v>
      </c>
      <c r="M15" s="30">
        <f t="shared" si="1"/>
        <v>12.5</v>
      </c>
      <c r="N15" s="31">
        <f t="shared" si="1"/>
        <v>10</v>
      </c>
      <c r="O15" s="2"/>
      <c r="P15" s="33"/>
      <c r="Q15" s="24"/>
      <c r="R15" s="24"/>
    </row>
    <row r="16" spans="1:18" ht="15.75">
      <c r="A16" s="32">
        <v>3</v>
      </c>
      <c r="B16" s="26" t="s">
        <v>19</v>
      </c>
      <c r="C16" s="27">
        <v>3</v>
      </c>
      <c r="D16" s="28">
        <v>3</v>
      </c>
      <c r="E16" s="29">
        <f t="shared" si="6"/>
        <v>7.4999999999999997E-2</v>
      </c>
      <c r="F16" s="29">
        <f t="shared" si="2"/>
        <v>7.4999999999999997E-2</v>
      </c>
      <c r="G16" s="29">
        <f t="shared" si="7"/>
        <v>0.105</v>
      </c>
      <c r="H16" s="29">
        <f t="shared" si="3"/>
        <v>0.105</v>
      </c>
      <c r="I16" s="29">
        <f t="shared" si="5"/>
        <v>0.15</v>
      </c>
      <c r="J16" s="29">
        <f t="shared" si="4"/>
        <v>0.15</v>
      </c>
      <c r="K16" s="29">
        <f t="shared" si="0"/>
        <v>0.22500000000000001</v>
      </c>
      <c r="L16" s="29">
        <f t="shared" si="0"/>
        <v>0.22500000000000001</v>
      </c>
      <c r="M16" s="30">
        <f t="shared" si="1"/>
        <v>0.3</v>
      </c>
      <c r="N16" s="31">
        <f t="shared" si="1"/>
        <v>0.3</v>
      </c>
      <c r="O16" s="2"/>
      <c r="P16" s="33"/>
      <c r="Q16" s="24"/>
      <c r="R16" s="24"/>
    </row>
    <row r="17" spans="1:18" ht="15.75">
      <c r="A17" s="32">
        <v>4</v>
      </c>
      <c r="B17" s="26" t="s">
        <v>20</v>
      </c>
      <c r="C17" s="28">
        <v>97</v>
      </c>
      <c r="D17" s="28">
        <v>97</v>
      </c>
      <c r="E17" s="29">
        <f t="shared" si="6"/>
        <v>2.4249999999999998</v>
      </c>
      <c r="F17" s="29">
        <f t="shared" si="2"/>
        <v>2.4249999999999998</v>
      </c>
      <c r="G17" s="29">
        <f t="shared" si="7"/>
        <v>3.395</v>
      </c>
      <c r="H17" s="29">
        <f t="shared" si="3"/>
        <v>3.395</v>
      </c>
      <c r="I17" s="29">
        <f t="shared" si="5"/>
        <v>4.8499999999999996</v>
      </c>
      <c r="J17" s="29">
        <f t="shared" si="4"/>
        <v>4.8499999999999996</v>
      </c>
      <c r="K17" s="29">
        <f t="shared" si="0"/>
        <v>7.2750000000000004</v>
      </c>
      <c r="L17" s="29">
        <f t="shared" si="0"/>
        <v>7.2750000000000004</v>
      </c>
      <c r="M17" s="30">
        <f t="shared" si="1"/>
        <v>9.6999999999999993</v>
      </c>
      <c r="N17" s="31">
        <f t="shared" si="1"/>
        <v>9.6999999999999993</v>
      </c>
      <c r="O17" s="2"/>
      <c r="P17" s="2"/>
      <c r="Q17" s="24"/>
      <c r="R17" s="24"/>
    </row>
    <row r="18" spans="1:18" ht="15.75">
      <c r="A18" s="32">
        <v>5</v>
      </c>
      <c r="B18" s="26" t="s">
        <v>21</v>
      </c>
      <c r="C18" s="27">
        <v>50</v>
      </c>
      <c r="D18" s="28">
        <v>50</v>
      </c>
      <c r="E18" s="29">
        <f t="shared" si="6"/>
        <v>1.25</v>
      </c>
      <c r="F18" s="29">
        <f t="shared" si="2"/>
        <v>1.25</v>
      </c>
      <c r="G18" s="29">
        <f t="shared" si="7"/>
        <v>1.75</v>
      </c>
      <c r="H18" s="29">
        <f t="shared" si="3"/>
        <v>1.75</v>
      </c>
      <c r="I18" s="29">
        <f t="shared" si="5"/>
        <v>2.5</v>
      </c>
      <c r="J18" s="29">
        <f t="shared" si="4"/>
        <v>2.5</v>
      </c>
      <c r="K18" s="29">
        <f t="shared" si="0"/>
        <v>3.75</v>
      </c>
      <c r="L18" s="29">
        <f t="shared" si="0"/>
        <v>3.75</v>
      </c>
      <c r="M18" s="30">
        <f t="shared" si="1"/>
        <v>5</v>
      </c>
      <c r="N18" s="31">
        <f t="shared" si="1"/>
        <v>5</v>
      </c>
      <c r="O18" s="2"/>
      <c r="P18" s="2"/>
      <c r="Q18" s="24"/>
      <c r="R18" s="24"/>
    </row>
    <row r="19" spans="1:18" ht="15.75">
      <c r="A19" s="32">
        <v>6</v>
      </c>
      <c r="B19" s="34" t="s">
        <v>22</v>
      </c>
      <c r="C19" s="27">
        <v>50</v>
      </c>
      <c r="D19" s="28">
        <v>50</v>
      </c>
      <c r="E19" s="29">
        <f t="shared" si="6"/>
        <v>1.25</v>
      </c>
      <c r="F19" s="29">
        <f t="shared" si="2"/>
        <v>1.25</v>
      </c>
      <c r="G19" s="29">
        <f t="shared" si="7"/>
        <v>1.75</v>
      </c>
      <c r="H19" s="29">
        <f t="shared" si="3"/>
        <v>1.75</v>
      </c>
      <c r="I19" s="29">
        <f t="shared" si="5"/>
        <v>2.5</v>
      </c>
      <c r="J19" s="29">
        <f t="shared" si="4"/>
        <v>2.5</v>
      </c>
      <c r="K19" s="29">
        <f t="shared" si="0"/>
        <v>3.75</v>
      </c>
      <c r="L19" s="29">
        <f t="shared" si="0"/>
        <v>3.75</v>
      </c>
      <c r="M19" s="30">
        <f t="shared" si="1"/>
        <v>5</v>
      </c>
      <c r="N19" s="31">
        <f t="shared" si="1"/>
        <v>5</v>
      </c>
      <c r="O19" s="2"/>
      <c r="P19" s="2"/>
      <c r="Q19" s="24"/>
      <c r="R19" s="24"/>
    </row>
    <row r="20" spans="1:18" ht="16.5" thickBot="1">
      <c r="A20" s="35">
        <v>7</v>
      </c>
      <c r="B20" s="36" t="s">
        <v>23</v>
      </c>
      <c r="C20" s="37">
        <v>3</v>
      </c>
      <c r="D20" s="37">
        <v>3</v>
      </c>
      <c r="E20" s="29">
        <f t="shared" si="6"/>
        <v>7.4999999999999997E-2</v>
      </c>
      <c r="F20" s="29">
        <f t="shared" si="2"/>
        <v>7.4999999999999997E-2</v>
      </c>
      <c r="G20" s="20">
        <f t="shared" si="7"/>
        <v>0.105</v>
      </c>
      <c r="H20" s="20">
        <f t="shared" si="3"/>
        <v>0.105</v>
      </c>
      <c r="I20" s="38">
        <f t="shared" si="5"/>
        <v>0.15</v>
      </c>
      <c r="J20" s="38">
        <f t="shared" si="4"/>
        <v>0.15</v>
      </c>
      <c r="K20" s="39">
        <f t="shared" si="0"/>
        <v>0.22500000000000001</v>
      </c>
      <c r="L20" s="39">
        <f t="shared" si="0"/>
        <v>0.22500000000000001</v>
      </c>
      <c r="M20" s="38">
        <f t="shared" si="1"/>
        <v>0.3</v>
      </c>
      <c r="N20" s="40">
        <f t="shared" si="1"/>
        <v>0.3</v>
      </c>
      <c r="O20" s="41"/>
      <c r="P20" s="41"/>
      <c r="Q20" s="41"/>
      <c r="R20" s="42"/>
    </row>
    <row r="21" spans="1:18" ht="16.5" thickBot="1">
      <c r="A21" s="94" t="s">
        <v>24</v>
      </c>
      <c r="B21" s="80"/>
      <c r="C21" s="95">
        <v>1000</v>
      </c>
      <c r="D21" s="96"/>
      <c r="E21" s="97">
        <v>25</v>
      </c>
      <c r="F21" s="98"/>
      <c r="G21" s="99">
        <v>35</v>
      </c>
      <c r="H21" s="100"/>
      <c r="I21" s="79">
        <v>50</v>
      </c>
      <c r="J21" s="80"/>
      <c r="K21" s="79">
        <v>75</v>
      </c>
      <c r="L21" s="80"/>
      <c r="M21" s="79">
        <v>100</v>
      </c>
      <c r="N21" s="80"/>
      <c r="O21" s="2"/>
      <c r="P21" s="2"/>
      <c r="Q21" s="2"/>
      <c r="R21" s="43"/>
    </row>
    <row r="22" spans="1:18" ht="15.75">
      <c r="A22" s="81" t="s">
        <v>25</v>
      </c>
      <c r="B22" s="82"/>
      <c r="C22" s="82"/>
      <c r="D22" s="82"/>
      <c r="E22" s="61"/>
      <c r="F22" s="61"/>
      <c r="G22" s="82"/>
      <c r="H22" s="82"/>
      <c r="I22" s="82"/>
      <c r="J22" s="82"/>
      <c r="K22" s="82"/>
      <c r="L22" s="82"/>
      <c r="M22" s="82"/>
      <c r="N22" s="82"/>
      <c r="O22" s="2"/>
      <c r="P22" s="2"/>
      <c r="Q22" s="44"/>
      <c r="R22" s="45"/>
    </row>
    <row r="23" spans="1:18" ht="15.75">
      <c r="A23" s="73" t="s">
        <v>26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2"/>
      <c r="P23" s="2"/>
      <c r="Q23" s="2"/>
      <c r="R23" s="2"/>
    </row>
    <row r="24" spans="1:18" ht="15.75">
      <c r="A24" s="83" t="s">
        <v>27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46"/>
      <c r="P24" s="2"/>
      <c r="Q24" s="2"/>
      <c r="R24" s="2"/>
    </row>
    <row r="25" spans="1:18" ht="15.7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46"/>
      <c r="P25" s="47"/>
      <c r="Q25" s="2"/>
      <c r="R25" s="2"/>
    </row>
    <row r="26" spans="1:18" ht="15.75">
      <c r="A26" s="84" t="s">
        <v>28</v>
      </c>
      <c r="B26" s="74"/>
      <c r="C26" s="74"/>
      <c r="D26" s="74"/>
      <c r="E26" s="74"/>
      <c r="F26" s="74"/>
      <c r="G26" s="74"/>
      <c r="H26" s="74"/>
      <c r="I26" s="74"/>
      <c r="J26" s="74"/>
      <c r="K26" s="48"/>
      <c r="L26" s="48"/>
      <c r="M26" s="48"/>
      <c r="N26" s="48"/>
      <c r="O26" s="2"/>
      <c r="P26" s="2"/>
      <c r="Q26" s="2"/>
      <c r="R26" s="2"/>
    </row>
    <row r="27" spans="1:18" ht="15.75">
      <c r="A27" s="49" t="s">
        <v>29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2"/>
      <c r="P27" s="2"/>
      <c r="Q27" s="2"/>
      <c r="R27" s="2"/>
    </row>
    <row r="28" spans="1:18" ht="15.75">
      <c r="A28" s="73" t="s">
        <v>30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2"/>
      <c r="P28" s="2"/>
      <c r="Q28" s="2"/>
      <c r="R28" s="2"/>
    </row>
    <row r="29" spans="1:18" ht="15.75">
      <c r="A29" s="75" t="s">
        <v>31</v>
      </c>
      <c r="B29" s="56"/>
      <c r="C29" s="76" t="s">
        <v>32</v>
      </c>
      <c r="D29" s="56"/>
      <c r="E29" s="75" t="s">
        <v>33</v>
      </c>
      <c r="F29" s="56"/>
      <c r="G29" s="77" t="s">
        <v>34</v>
      </c>
      <c r="H29" s="56"/>
      <c r="I29" s="75" t="s">
        <v>35</v>
      </c>
      <c r="J29" s="56"/>
      <c r="K29" s="78"/>
      <c r="L29" s="61"/>
      <c r="M29" s="2"/>
      <c r="N29" s="2"/>
      <c r="O29" s="2"/>
      <c r="P29" s="2"/>
      <c r="Q29" s="2"/>
      <c r="R29" s="2"/>
    </row>
    <row r="30" spans="1:18" ht="15.75">
      <c r="A30" s="66">
        <v>25</v>
      </c>
      <c r="B30" s="67"/>
      <c r="C30" s="68">
        <v>0.4</v>
      </c>
      <c r="D30" s="69"/>
      <c r="E30" s="70">
        <v>1.25</v>
      </c>
      <c r="F30" s="71"/>
      <c r="G30" s="68">
        <v>2.25</v>
      </c>
      <c r="H30" s="69"/>
      <c r="I30" s="72">
        <v>22</v>
      </c>
      <c r="J30" s="72"/>
      <c r="K30" s="50"/>
      <c r="L30" s="51"/>
      <c r="M30" s="2"/>
      <c r="N30" s="2"/>
      <c r="O30" s="2"/>
      <c r="P30" s="2"/>
      <c r="Q30" s="2"/>
      <c r="R30" s="2"/>
    </row>
    <row r="31" spans="1:18" ht="15.75">
      <c r="A31" s="66">
        <v>35</v>
      </c>
      <c r="B31" s="67"/>
      <c r="C31" s="57">
        <f>C30*35/25</f>
        <v>0.56000000000000005</v>
      </c>
      <c r="D31" s="58"/>
      <c r="E31" s="57">
        <f t="shared" ref="E31" si="8">E30*35/25</f>
        <v>1.75</v>
      </c>
      <c r="F31" s="58"/>
      <c r="G31" s="57">
        <f t="shared" ref="G31" si="9">G30*35/25</f>
        <v>3.15</v>
      </c>
      <c r="H31" s="58"/>
      <c r="I31" s="59">
        <f t="shared" ref="I31" si="10">I30*35/25</f>
        <v>30.8</v>
      </c>
      <c r="J31" s="59"/>
      <c r="K31" s="63"/>
      <c r="L31" s="63"/>
      <c r="M31" s="2"/>
      <c r="N31" s="2"/>
      <c r="O31" s="2"/>
      <c r="P31" s="2"/>
      <c r="Q31" s="2"/>
      <c r="R31" s="2"/>
    </row>
    <row r="32" spans="1:18" ht="15.75">
      <c r="A32" s="64">
        <v>50</v>
      </c>
      <c r="B32" s="65"/>
      <c r="C32" s="57">
        <f>C30*50/25</f>
        <v>0.8</v>
      </c>
      <c r="D32" s="58"/>
      <c r="E32" s="57">
        <f t="shared" ref="E32" si="11">E30*50/25</f>
        <v>2.5</v>
      </c>
      <c r="F32" s="58"/>
      <c r="G32" s="57">
        <f t="shared" ref="G32" si="12">G30*50/25</f>
        <v>4.5</v>
      </c>
      <c r="H32" s="58"/>
      <c r="I32" s="59">
        <f t="shared" ref="I32" si="13">I30*50/25</f>
        <v>44</v>
      </c>
      <c r="J32" s="59"/>
      <c r="K32" s="62"/>
      <c r="L32" s="62"/>
      <c r="M32" s="2"/>
      <c r="N32" s="2"/>
      <c r="O32" s="2"/>
      <c r="P32" s="2"/>
      <c r="Q32" s="2"/>
      <c r="R32" s="2"/>
    </row>
    <row r="33" spans="1:18" ht="15.75">
      <c r="A33" s="55">
        <v>75</v>
      </c>
      <c r="B33" s="56"/>
      <c r="C33" s="57">
        <f>C30*75/25</f>
        <v>1.2</v>
      </c>
      <c r="D33" s="58"/>
      <c r="E33" s="57">
        <f t="shared" ref="E33" si="14">E30*75/25</f>
        <v>3.75</v>
      </c>
      <c r="F33" s="58"/>
      <c r="G33" s="57">
        <f t="shared" ref="G33" si="15">G30*75/25</f>
        <v>6.75</v>
      </c>
      <c r="H33" s="58"/>
      <c r="I33" s="59">
        <f t="shared" ref="I33" si="16">I30*75/25</f>
        <v>66</v>
      </c>
      <c r="J33" s="59"/>
      <c r="K33" s="62"/>
      <c r="L33" s="61"/>
      <c r="M33" s="2"/>
      <c r="N33" s="2"/>
      <c r="O33" s="2"/>
      <c r="P33" s="2"/>
      <c r="Q33" s="2"/>
      <c r="R33" s="2"/>
    </row>
    <row r="34" spans="1:18" ht="15.75">
      <c r="A34" s="55">
        <v>100</v>
      </c>
      <c r="B34" s="56"/>
      <c r="C34" s="57">
        <f>C30*100/25</f>
        <v>1.6</v>
      </c>
      <c r="D34" s="58"/>
      <c r="E34" s="57">
        <f t="shared" ref="E34" si="17">E30*100/25</f>
        <v>5</v>
      </c>
      <c r="F34" s="58"/>
      <c r="G34" s="57">
        <f t="shared" ref="G34" si="18">G30*100/25</f>
        <v>9</v>
      </c>
      <c r="H34" s="58"/>
      <c r="I34" s="59">
        <f t="shared" ref="I34" si="19">I30*100/25</f>
        <v>88</v>
      </c>
      <c r="J34" s="59"/>
      <c r="K34" s="60"/>
      <c r="L34" s="61"/>
      <c r="M34" s="2"/>
      <c r="N34" s="2"/>
      <c r="O34" s="2"/>
      <c r="P34" s="2"/>
      <c r="Q34" s="2"/>
      <c r="R34" s="2"/>
    </row>
    <row r="35" spans="1:18" ht="15.75">
      <c r="A35" s="52"/>
      <c r="B35" s="54" t="s">
        <v>36</v>
      </c>
      <c r="C35" s="54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1:18" ht="15.75">
      <c r="A36" s="2"/>
      <c r="B36" s="2"/>
      <c r="C36" s="53"/>
      <c r="D36" s="53"/>
      <c r="E36" s="53"/>
      <c r="F36" s="53"/>
      <c r="G36" s="53"/>
      <c r="H36" s="53"/>
      <c r="I36" s="53"/>
      <c r="J36" s="53"/>
      <c r="K36" s="2"/>
      <c r="L36" s="2"/>
      <c r="M36" s="2"/>
      <c r="N36" s="2"/>
      <c r="O36" s="2"/>
      <c r="P36" s="2"/>
      <c r="Q36" s="2"/>
      <c r="R36" s="2"/>
    </row>
    <row r="37" spans="1:18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</sheetData>
  <mergeCells count="53">
    <mergeCell ref="A26:J26"/>
    <mergeCell ref="A7:N7"/>
    <mergeCell ref="A8:N8"/>
    <mergeCell ref="A9:A10"/>
    <mergeCell ref="C9:D9"/>
    <mergeCell ref="E9:N9"/>
    <mergeCell ref="A21:B21"/>
    <mergeCell ref="C21:D21"/>
    <mergeCell ref="E21:F21"/>
    <mergeCell ref="G21:H21"/>
    <mergeCell ref="I21:J21"/>
    <mergeCell ref="K21:L21"/>
    <mergeCell ref="M21:N21"/>
    <mergeCell ref="A22:N22"/>
    <mergeCell ref="A23:N23"/>
    <mergeCell ref="A24:N25"/>
    <mergeCell ref="A28:N28"/>
    <mergeCell ref="A29:B29"/>
    <mergeCell ref="C29:D29"/>
    <mergeCell ref="E29:F29"/>
    <mergeCell ref="G29:H29"/>
    <mergeCell ref="I29:J29"/>
    <mergeCell ref="K29:L29"/>
    <mergeCell ref="A30:B30"/>
    <mergeCell ref="C30:D30"/>
    <mergeCell ref="E30:F30"/>
    <mergeCell ref="G30:H30"/>
    <mergeCell ref="I30:J30"/>
    <mergeCell ref="K31:L31"/>
    <mergeCell ref="A32:B32"/>
    <mergeCell ref="C32:D32"/>
    <mergeCell ref="E32:F32"/>
    <mergeCell ref="G32:H32"/>
    <mergeCell ref="I32:J32"/>
    <mergeCell ref="K32:L32"/>
    <mergeCell ref="A31:B31"/>
    <mergeCell ref="C31:D31"/>
    <mergeCell ref="E31:F31"/>
    <mergeCell ref="G31:H31"/>
    <mergeCell ref="I31:J31"/>
    <mergeCell ref="I34:J34"/>
    <mergeCell ref="K34:L34"/>
    <mergeCell ref="A33:B33"/>
    <mergeCell ref="C33:D33"/>
    <mergeCell ref="E33:F33"/>
    <mergeCell ref="G33:H33"/>
    <mergeCell ref="I33:J33"/>
    <mergeCell ref="K33:L33"/>
    <mergeCell ref="B35:C35"/>
    <mergeCell ref="A34:B34"/>
    <mergeCell ref="C34:D34"/>
    <mergeCell ref="E34:F34"/>
    <mergeCell ref="G34:H3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2026-07-24T06:30:05Z</dcterms:modified>
</cp:coreProperties>
</file>