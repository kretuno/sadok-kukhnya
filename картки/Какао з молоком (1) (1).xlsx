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Какао з молоком" sheetId="1" r:id="rId1"/>
  </sheets>
  <calcPr calcId="18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5" i="1"/>
  <c r="G25"/>
  <c r="I25"/>
  <c r="C25"/>
  <c r="I11"/>
  <c r="J11"/>
  <c r="I12"/>
  <c r="J12"/>
  <c r="J10"/>
  <c r="I10"/>
  <c r="G11"/>
  <c r="H11"/>
  <c r="G12"/>
  <c r="H12"/>
  <c r="H10"/>
  <c r="G10"/>
  <c r="F12"/>
  <c r="E12"/>
  <c r="E11"/>
  <c r="F11"/>
  <c r="F10"/>
  <c r="E10"/>
  <c r="I23" l="1"/>
  <c r="G23"/>
  <c r="E23"/>
  <c r="C23"/>
</calcChain>
</file>

<file path=xl/sharedStrings.xml><?xml version="1.0" encoding="utf-8"?>
<sst xmlns="http://schemas.openxmlformats.org/spreadsheetml/2006/main" count="39" uniqueCount="32">
  <si>
    <t>ЗАТВЕРДЖУЮ</t>
  </si>
  <si>
    <t xml:space="preserve">Директор </t>
  </si>
  <si>
    <t>______________________</t>
  </si>
  <si>
    <t>_____________ 20</t>
  </si>
  <si>
    <t xml:space="preserve">             Технологічна карта </t>
  </si>
  <si>
    <t>№ з/п</t>
  </si>
  <si>
    <t>Найменування сировини</t>
  </si>
  <si>
    <t>Маса, г</t>
  </si>
  <si>
    <t xml:space="preserve">Норма вмісту на 1 порцію, г </t>
  </si>
  <si>
    <t>брутто, г</t>
  </si>
  <si>
    <t>нетто, г</t>
  </si>
  <si>
    <t>Молоко (МП, Л,)</t>
  </si>
  <si>
    <t>Вихід готової страви, г</t>
  </si>
  <si>
    <t>Харчові продукти і продовольча сировина з яких виготовляються готові страви, відповідають вимогам чинних нормативно-правових актів України щодо показників якості та безпеки харчових продуктів, упаковки, маркування, транспортування, приймання і зберігання.</t>
  </si>
  <si>
    <t xml:space="preserve">Відхилення до маси порції+-3%
Наявність харчових алергенів у страві: МП, Л-молоко
</t>
  </si>
  <si>
    <t>Технологія приготування страви</t>
  </si>
  <si>
    <t>Термін придатності до споживання та умови зберігання</t>
  </si>
  <si>
    <t>Термін реалізації - 2 години. Температура подачі +65-75 °C</t>
  </si>
  <si>
    <t xml:space="preserve">ХАРЧОВА (ПОЖИВНА) ТА ЕНЕРГЕТИЧНА ЦІННІСТЬ (КАЛОРІЙНІСТЬ) 1 ПОРЦІЇ: </t>
  </si>
  <si>
    <t>Маса порції, г</t>
  </si>
  <si>
    <t>Білки, г</t>
  </si>
  <si>
    <t>Жири, г</t>
  </si>
  <si>
    <t>Вуглеводи, г</t>
  </si>
  <si>
    <t>Енергетична цінність, ккал</t>
  </si>
  <si>
    <t xml:space="preserve">Карту склав: фахівець-технолог     </t>
  </si>
  <si>
    <t>Какао з молоком</t>
  </si>
  <si>
    <t>"Інститут громадського здоров'я"</t>
  </si>
  <si>
    <t>Технологічна карта № 11.05</t>
  </si>
  <si>
    <t>2021 року</t>
  </si>
  <si>
    <t>Какао-порошок</t>
  </si>
  <si>
    <t>Вода питна</t>
  </si>
  <si>
    <r>
      <t xml:space="preserve">В какао-порошок додають окріп (50г) і розтирають до однорідної маси. Потім вливають масу в кипячене молоко і постійно помішуючи, додають другу частину окропу. доводять до кипіння. 
                                                                              </t>
    </r>
    <r>
      <rPr>
        <b/>
        <sz val="12"/>
        <color rgb="FF000000"/>
        <rFont val="Times New Roman"/>
        <family val="1"/>
        <charset val="204"/>
      </rPr>
      <t>Характеристика готової страви</t>
    </r>
    <r>
      <rPr>
        <sz val="12"/>
        <color rgb="FF000000"/>
        <rFont val="Times New Roman"/>
        <family val="1"/>
        <charset val="204"/>
      </rPr>
      <t xml:space="preserve">
Зовнішній вигляд: однорідний, не прозорий, світло-коричневий
Колір: світло-коричневий
Смак і запах: притаманний молоку та какао 
Консистенція: рідка, однорідна, без утворення плівки на поверхні.
</t>
    </r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</si>
</sst>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0"/>
      <color rgb="FF000000"/>
      <name val="Arial"/>
    </font>
    <font>
      <sz val="12"/>
      <color theme="1"/>
      <name val="Times New Roman"/>
    </font>
    <font>
      <b/>
      <sz val="12"/>
      <color theme="1"/>
      <name val="Times New Roman"/>
      <family val="1"/>
      <charset val="204"/>
    </font>
    <font>
      <b/>
      <sz val="12"/>
      <color theme="1"/>
      <name val="Times New Roman"/>
    </font>
    <font>
      <sz val="12"/>
      <color theme="1"/>
      <name val="Arial"/>
    </font>
    <font>
      <sz val="10"/>
      <name val="Arial"/>
    </font>
    <font>
      <b/>
      <sz val="10"/>
      <color theme="1"/>
      <name val="Times New Roman"/>
    </font>
    <font>
      <sz val="12"/>
      <color theme="1"/>
      <name val="Times New Roman"/>
      <family val="1"/>
      <charset val="204"/>
    </font>
    <font>
      <sz val="12"/>
      <color rgb="FF000000"/>
      <name val="Times New Roman"/>
    </font>
    <font>
      <b/>
      <sz val="12"/>
      <color rgb="FF980000"/>
      <name val="Times New Roman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i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4" xfId="0" applyFont="1" applyBorder="1" applyAlignment="1">
      <alignment horizontal="center" vertical="center"/>
    </xf>
    <xf numFmtId="0" fontId="5" fillId="0" borderId="17" xfId="0" applyFont="1" applyBorder="1"/>
    <xf numFmtId="0" fontId="7" fillId="0" borderId="18" xfId="0" applyFont="1" applyBorder="1" applyAlignment="1">
      <alignment horizontal="left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2" fontId="7" fillId="0" borderId="22" xfId="0" applyNumberFormat="1" applyFont="1" applyBorder="1" applyAlignment="1">
      <alignment horizontal="center"/>
    </xf>
    <xf numFmtId="2" fontId="7" fillId="0" borderId="21" xfId="0" applyNumberFormat="1" applyFont="1" applyBorder="1" applyAlignment="1">
      <alignment horizontal="center"/>
    </xf>
    <xf numFmtId="0" fontId="7" fillId="0" borderId="23" xfId="0" applyFont="1" applyBorder="1" applyAlignment="1">
      <alignment horizontal="left" vertical="center" wrapText="1"/>
    </xf>
    <xf numFmtId="2" fontId="7" fillId="0" borderId="1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2" fontId="7" fillId="0" borderId="24" xfId="0" applyNumberFormat="1" applyFont="1" applyBorder="1" applyAlignment="1">
      <alignment horizontal="center" vertical="center"/>
    </xf>
    <xf numFmtId="2" fontId="7" fillId="0" borderId="25" xfId="0" applyNumberFormat="1" applyFont="1" applyBorder="1" applyAlignment="1">
      <alignment horizontal="center"/>
    </xf>
    <xf numFmtId="2" fontId="7" fillId="0" borderId="26" xfId="0" applyNumberFormat="1" applyFont="1" applyBorder="1" applyAlignment="1">
      <alignment horizontal="center" vertical="center"/>
    </xf>
    <xf numFmtId="2" fontId="7" fillId="0" borderId="27" xfId="0" applyNumberFormat="1" applyFont="1" applyBorder="1" applyAlignment="1">
      <alignment horizontal="center"/>
    </xf>
    <xf numFmtId="2" fontId="7" fillId="0" borderId="28" xfId="0" applyNumberFormat="1" applyFont="1" applyBorder="1" applyAlignment="1">
      <alignment horizontal="center" vertical="center"/>
    </xf>
    <xf numFmtId="2" fontId="7" fillId="0" borderId="29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1" xfId="0" applyFont="1" applyBorder="1" applyAlignment="1">
      <alignment vertical="top" wrapText="1"/>
    </xf>
    <xf numFmtId="0" fontId="5" fillId="0" borderId="8" xfId="0" applyFont="1" applyBorder="1"/>
    <xf numFmtId="0" fontId="3" fillId="0" borderId="3" xfId="0" applyFont="1" applyBorder="1" applyAlignment="1">
      <alignment horizontal="center" vertical="center"/>
    </xf>
    <xf numFmtId="0" fontId="5" fillId="0" borderId="4" xfId="0" applyFont="1" applyBorder="1"/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5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5" fillId="0" borderId="15" xfId="0" applyFont="1" applyBorder="1"/>
    <xf numFmtId="0" fontId="3" fillId="0" borderId="14" xfId="0" applyFont="1" applyBorder="1" applyAlignment="1">
      <alignment horizontal="center" vertical="center"/>
    </xf>
    <xf numFmtId="0" fontId="5" fillId="0" borderId="16" xfId="0" applyFont="1" applyBorder="1"/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FF00"/>
  </sheetPr>
  <dimension ref="A1:Q986"/>
  <sheetViews>
    <sheetView tabSelected="1" workbookViewId="0">
      <selection activeCell="L18" sqref="L18"/>
    </sheetView>
  </sheetViews>
  <sheetFormatPr defaultColWidth="14.42578125" defaultRowHeight="15" customHeight="1"/>
  <cols>
    <col min="1" max="1" width="4.42578125" customWidth="1"/>
    <col min="2" max="2" width="52.7109375" customWidth="1"/>
    <col min="3" max="4" width="8.140625" customWidth="1"/>
    <col min="5" max="5" width="8.42578125" customWidth="1"/>
    <col min="6" max="6" width="9.42578125" customWidth="1"/>
    <col min="7" max="7" width="8.140625" customWidth="1"/>
    <col min="8" max="8" width="8.5703125" customWidth="1"/>
    <col min="9" max="10" width="8.42578125" customWidth="1"/>
    <col min="11" max="17" width="8" customWidth="1"/>
  </cols>
  <sheetData>
    <row r="1" spans="1:17" ht="40.9" customHeight="1">
      <c r="A1" s="1"/>
      <c r="B1" s="2" t="s">
        <v>26</v>
      </c>
      <c r="C1" s="1"/>
      <c r="D1" s="1"/>
      <c r="E1" s="1"/>
      <c r="F1" s="1"/>
      <c r="G1" s="3" t="s">
        <v>0</v>
      </c>
      <c r="H1" s="3"/>
      <c r="I1" s="1"/>
      <c r="J1" s="1"/>
      <c r="K1" s="4"/>
      <c r="L1" s="4"/>
      <c r="M1" s="4"/>
      <c r="N1" s="4"/>
      <c r="O1" s="4"/>
      <c r="P1" s="4"/>
      <c r="Q1" s="4"/>
    </row>
    <row r="2" spans="1:17" ht="15.75" customHeight="1">
      <c r="A2" s="1"/>
      <c r="B2" s="5" t="s">
        <v>27</v>
      </c>
      <c r="C2" s="1"/>
      <c r="D2" s="1"/>
      <c r="E2" s="1"/>
      <c r="F2" s="1"/>
      <c r="G2" s="3" t="s">
        <v>1</v>
      </c>
      <c r="H2" s="3"/>
      <c r="I2" s="1"/>
      <c r="J2" s="1"/>
      <c r="K2" s="4"/>
      <c r="L2" s="4"/>
      <c r="M2" s="4"/>
      <c r="N2" s="4"/>
      <c r="O2" s="4"/>
      <c r="P2" s="4"/>
      <c r="Q2" s="4"/>
    </row>
    <row r="3" spans="1:17" ht="15.75" customHeight="1">
      <c r="A3" s="1"/>
      <c r="B3" s="1" t="s">
        <v>28</v>
      </c>
      <c r="C3" s="1"/>
      <c r="D3" s="1"/>
      <c r="E3" s="1"/>
      <c r="F3" s="1"/>
      <c r="G3" s="3" t="s">
        <v>2</v>
      </c>
      <c r="H3" s="3"/>
      <c r="I3" s="1"/>
      <c r="J3" s="1"/>
      <c r="K3" s="4"/>
      <c r="L3" s="4"/>
      <c r="M3" s="4"/>
      <c r="N3" s="4"/>
      <c r="O3" s="4"/>
      <c r="P3" s="4"/>
      <c r="Q3" s="4"/>
    </row>
    <row r="4" spans="1:17" ht="15.75" customHeight="1">
      <c r="A4" s="1"/>
      <c r="B4" s="1"/>
      <c r="C4" s="1"/>
      <c r="D4" s="1"/>
      <c r="E4" s="1"/>
      <c r="F4" s="1"/>
      <c r="G4" s="33" t="s">
        <v>2</v>
      </c>
      <c r="H4" s="34"/>
      <c r="I4" s="34"/>
      <c r="J4" s="1"/>
      <c r="K4" s="4"/>
      <c r="L4" s="4"/>
      <c r="M4" s="4"/>
      <c r="N4" s="4"/>
      <c r="O4" s="4"/>
      <c r="P4" s="4"/>
      <c r="Q4" s="4"/>
    </row>
    <row r="5" spans="1:17" ht="15.75" customHeight="1">
      <c r="A5" s="1"/>
      <c r="B5" s="1"/>
      <c r="C5" s="1"/>
      <c r="D5" s="1"/>
      <c r="E5" s="1"/>
      <c r="F5" s="1"/>
      <c r="G5" s="3" t="s">
        <v>3</v>
      </c>
      <c r="H5" s="3"/>
      <c r="I5" s="1"/>
      <c r="J5" s="1"/>
      <c r="K5" s="4"/>
      <c r="L5" s="4"/>
      <c r="M5" s="4"/>
      <c r="N5" s="4"/>
      <c r="O5" s="4"/>
      <c r="P5" s="4"/>
      <c r="Q5" s="4"/>
    </row>
    <row r="6" spans="1:17" ht="15.75" customHeight="1">
      <c r="A6" s="35" t="s">
        <v>4</v>
      </c>
      <c r="B6" s="34"/>
      <c r="C6" s="34"/>
      <c r="D6" s="34"/>
      <c r="E6" s="34"/>
      <c r="F6" s="34"/>
      <c r="G6" s="34"/>
      <c r="H6" s="34"/>
      <c r="I6" s="34"/>
      <c r="J6" s="34"/>
      <c r="K6" s="4"/>
      <c r="L6" s="4"/>
      <c r="M6" s="4"/>
      <c r="N6" s="4"/>
      <c r="O6" s="4"/>
      <c r="P6" s="4"/>
      <c r="Q6" s="4"/>
    </row>
    <row r="7" spans="1:17" ht="20.25" customHeight="1" thickBot="1">
      <c r="A7" s="36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4"/>
      <c r="L7" s="4"/>
      <c r="M7" s="4"/>
      <c r="N7" s="4"/>
      <c r="O7" s="4"/>
      <c r="P7" s="4"/>
      <c r="Q7" s="4"/>
    </row>
    <row r="8" spans="1:17" ht="16.5" customHeight="1" thickBot="1">
      <c r="A8" s="38" t="s">
        <v>5</v>
      </c>
      <c r="B8" s="7" t="s">
        <v>6</v>
      </c>
      <c r="C8" s="40" t="s">
        <v>7</v>
      </c>
      <c r="D8" s="41"/>
      <c r="E8" s="42" t="s">
        <v>8</v>
      </c>
      <c r="F8" s="43"/>
      <c r="G8" s="43"/>
      <c r="H8" s="43"/>
      <c r="I8" s="43"/>
      <c r="J8" s="44"/>
      <c r="K8" s="4"/>
      <c r="L8" s="4"/>
      <c r="M8" s="4"/>
      <c r="N8" s="4"/>
      <c r="O8" s="4"/>
      <c r="P8" s="4"/>
      <c r="Q8" s="4"/>
    </row>
    <row r="9" spans="1:17" ht="13.5" customHeight="1" thickBot="1">
      <c r="A9" s="39"/>
      <c r="B9" s="8"/>
      <c r="C9" s="16" t="s">
        <v>9</v>
      </c>
      <c r="D9" s="13" t="s">
        <v>10</v>
      </c>
      <c r="E9" s="16" t="s">
        <v>9</v>
      </c>
      <c r="F9" s="17" t="s">
        <v>10</v>
      </c>
      <c r="G9" s="16" t="s">
        <v>9</v>
      </c>
      <c r="H9" s="17" t="s">
        <v>10</v>
      </c>
      <c r="I9" s="16" t="s">
        <v>9</v>
      </c>
      <c r="J9" s="13" t="s">
        <v>10</v>
      </c>
      <c r="K9" s="4"/>
      <c r="L9" s="4"/>
      <c r="M9" s="4"/>
      <c r="N9" s="4"/>
      <c r="O9" s="4"/>
      <c r="P9" s="4"/>
      <c r="Q9" s="4"/>
    </row>
    <row r="10" spans="1:17" s="6" customFormat="1" ht="13.5" customHeight="1" thickBot="1">
      <c r="A10" s="14">
        <v>1</v>
      </c>
      <c r="B10" s="22" t="s">
        <v>29</v>
      </c>
      <c r="C10" s="23">
        <v>16.5</v>
      </c>
      <c r="D10" s="24">
        <v>16.5</v>
      </c>
      <c r="E10" s="23">
        <f t="shared" ref="E10:F12" si="0">C10*200/1000</f>
        <v>3.3</v>
      </c>
      <c r="F10" s="24">
        <f t="shared" si="0"/>
        <v>3.3</v>
      </c>
      <c r="G10" s="23">
        <f>C10*150/1000</f>
        <v>2.4750000000000001</v>
      </c>
      <c r="H10" s="24">
        <f>D10*150/1000</f>
        <v>2.4750000000000001</v>
      </c>
      <c r="I10" s="23">
        <f>C10*180/1000</f>
        <v>2.97</v>
      </c>
      <c r="J10" s="24">
        <f>D10*180/1000</f>
        <v>2.97</v>
      </c>
      <c r="K10" s="4"/>
      <c r="L10" s="4"/>
      <c r="M10" s="4"/>
      <c r="N10" s="4"/>
      <c r="O10" s="4"/>
      <c r="P10" s="4"/>
      <c r="Q10" s="4"/>
    </row>
    <row r="11" spans="1:17" ht="18.75" customHeight="1" thickBot="1">
      <c r="A11" s="9">
        <v>2</v>
      </c>
      <c r="B11" s="15" t="s">
        <v>11</v>
      </c>
      <c r="C11" s="21">
        <v>950</v>
      </c>
      <c r="D11" s="20">
        <v>950</v>
      </c>
      <c r="E11" s="29">
        <f t="shared" si="0"/>
        <v>190</v>
      </c>
      <c r="F11" s="25">
        <f t="shared" si="0"/>
        <v>190</v>
      </c>
      <c r="G11" s="29">
        <f t="shared" ref="G11:G12" si="1">C11*150/1000</f>
        <v>142.5</v>
      </c>
      <c r="H11" s="25">
        <f t="shared" ref="H11:H12" si="2">D11*150/1000</f>
        <v>142.5</v>
      </c>
      <c r="I11" s="29">
        <f t="shared" ref="I11:I12" si="3">C11*180/1000</f>
        <v>171</v>
      </c>
      <c r="J11" s="25">
        <f t="shared" ref="J11:J12" si="4">D11*180/1000</f>
        <v>171</v>
      </c>
      <c r="K11" s="4"/>
      <c r="L11" s="4"/>
      <c r="M11" s="4"/>
      <c r="N11" s="4"/>
      <c r="O11" s="4"/>
      <c r="P11" s="4"/>
      <c r="Q11" s="4"/>
    </row>
    <row r="12" spans="1:17" s="6" customFormat="1" ht="18.75" customHeight="1" thickBot="1">
      <c r="A12" s="18">
        <v>3</v>
      </c>
      <c r="B12" s="19" t="s">
        <v>30</v>
      </c>
      <c r="C12" s="26">
        <v>100</v>
      </c>
      <c r="D12" s="28">
        <v>100</v>
      </c>
      <c r="E12" s="30">
        <f t="shared" si="0"/>
        <v>20</v>
      </c>
      <c r="F12" s="27">
        <f t="shared" si="0"/>
        <v>20</v>
      </c>
      <c r="G12" s="30">
        <f t="shared" si="1"/>
        <v>15</v>
      </c>
      <c r="H12" s="27">
        <f t="shared" si="2"/>
        <v>15</v>
      </c>
      <c r="I12" s="30">
        <f t="shared" si="3"/>
        <v>18</v>
      </c>
      <c r="J12" s="27">
        <f t="shared" si="4"/>
        <v>18</v>
      </c>
      <c r="K12" s="4"/>
      <c r="L12" s="4"/>
      <c r="M12" s="4"/>
      <c r="N12" s="4"/>
      <c r="O12" s="4"/>
      <c r="P12" s="4"/>
      <c r="Q12" s="4"/>
    </row>
    <row r="13" spans="1:17" ht="19.5" customHeight="1" thickBot="1">
      <c r="A13" s="45" t="s">
        <v>12</v>
      </c>
      <c r="B13" s="44"/>
      <c r="C13" s="46">
        <v>1000</v>
      </c>
      <c r="D13" s="47"/>
      <c r="E13" s="48">
        <v>200</v>
      </c>
      <c r="F13" s="47"/>
      <c r="G13" s="48">
        <v>150</v>
      </c>
      <c r="H13" s="47"/>
      <c r="I13" s="48">
        <v>180</v>
      </c>
      <c r="J13" s="44"/>
      <c r="K13" s="4"/>
      <c r="L13" s="4"/>
      <c r="M13" s="4"/>
      <c r="N13" s="4"/>
      <c r="O13" s="4"/>
      <c r="P13" s="4"/>
      <c r="Q13" s="4"/>
    </row>
    <row r="14" spans="1:17" ht="44.25" customHeight="1">
      <c r="A14" s="31" t="s">
        <v>13</v>
      </c>
      <c r="B14" s="32"/>
      <c r="C14" s="32"/>
      <c r="D14" s="32"/>
      <c r="E14" s="32"/>
      <c r="F14" s="32"/>
      <c r="G14" s="32"/>
      <c r="H14" s="32"/>
      <c r="I14" s="32"/>
      <c r="J14" s="32"/>
      <c r="K14" s="4"/>
      <c r="L14" s="4"/>
      <c r="M14" s="4"/>
      <c r="N14" s="4"/>
      <c r="O14" s="4"/>
      <c r="P14" s="4"/>
      <c r="Q14" s="4"/>
    </row>
    <row r="15" spans="1:17" ht="44.25" customHeight="1">
      <c r="A15" s="55" t="s">
        <v>14</v>
      </c>
      <c r="B15" s="55"/>
      <c r="C15" s="55"/>
      <c r="D15" s="55"/>
      <c r="E15" s="55"/>
      <c r="F15" s="55"/>
      <c r="G15" s="55"/>
      <c r="H15" s="10"/>
      <c r="I15" s="10"/>
      <c r="J15" s="10"/>
      <c r="K15" s="4"/>
      <c r="L15" s="4"/>
      <c r="M15" s="4"/>
      <c r="N15" s="4"/>
      <c r="O15" s="4"/>
      <c r="P15" s="4"/>
      <c r="Q15" s="4"/>
    </row>
    <row r="16" spans="1:17" ht="19.899999999999999" customHeight="1">
      <c r="A16" s="35" t="s">
        <v>15</v>
      </c>
      <c r="B16" s="34"/>
      <c r="C16" s="34"/>
      <c r="D16" s="34"/>
      <c r="E16" s="34"/>
      <c r="F16" s="34"/>
      <c r="G16" s="34"/>
      <c r="H16" s="34"/>
      <c r="I16" s="34"/>
      <c r="J16" s="34"/>
      <c r="K16" s="4"/>
      <c r="L16" s="4"/>
      <c r="M16" s="4"/>
      <c r="N16" s="4"/>
      <c r="O16" s="4"/>
      <c r="P16" s="4"/>
      <c r="Q16" s="4"/>
    </row>
    <row r="17" spans="1:17" ht="91.15" customHeight="1">
      <c r="A17" s="56" t="s">
        <v>31</v>
      </c>
      <c r="B17" s="34"/>
      <c r="C17" s="34"/>
      <c r="D17" s="34"/>
      <c r="E17" s="34"/>
      <c r="F17" s="34"/>
      <c r="G17" s="34"/>
      <c r="H17" s="34"/>
      <c r="I17" s="34"/>
      <c r="J17" s="34"/>
      <c r="K17" s="4"/>
      <c r="L17" s="4"/>
      <c r="M17" s="4"/>
      <c r="N17" s="4"/>
      <c r="O17" s="4"/>
      <c r="P17" s="4"/>
      <c r="Q17" s="4"/>
    </row>
    <row r="18" spans="1:17" ht="91.1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4"/>
      <c r="L18" s="4"/>
      <c r="M18" s="4"/>
      <c r="N18" s="4"/>
      <c r="O18" s="4"/>
      <c r="P18" s="4"/>
      <c r="Q18" s="4"/>
    </row>
    <row r="19" spans="1:17" ht="18.75" customHeight="1">
      <c r="A19" s="57" t="s">
        <v>16</v>
      </c>
      <c r="B19" s="34"/>
      <c r="C19" s="34"/>
      <c r="D19" s="34"/>
      <c r="E19" s="34"/>
      <c r="F19" s="34"/>
      <c r="G19" s="11"/>
      <c r="H19" s="11"/>
      <c r="I19" s="11"/>
      <c r="J19" s="11"/>
      <c r="K19" s="4"/>
      <c r="L19" s="4"/>
      <c r="M19" s="4"/>
      <c r="N19" s="4"/>
      <c r="O19" s="4"/>
      <c r="P19" s="4"/>
      <c r="Q19" s="4"/>
    </row>
    <row r="20" spans="1:17" ht="34.5" customHeight="1">
      <c r="A20" s="12" t="s">
        <v>17</v>
      </c>
      <c r="B20" s="11"/>
      <c r="C20" s="11"/>
      <c r="D20" s="11"/>
      <c r="E20" s="11"/>
      <c r="F20" s="11"/>
      <c r="G20" s="11"/>
      <c r="H20" s="11"/>
      <c r="I20" s="11"/>
      <c r="J20" s="11"/>
      <c r="K20" s="4"/>
      <c r="L20" s="4"/>
      <c r="M20" s="4"/>
      <c r="N20" s="4"/>
      <c r="O20" s="4"/>
      <c r="P20" s="4"/>
      <c r="Q20" s="4"/>
    </row>
    <row r="21" spans="1:17" ht="19.5" customHeight="1" thickBot="1">
      <c r="A21" s="58" t="s">
        <v>18</v>
      </c>
      <c r="B21" s="34"/>
      <c r="C21" s="34"/>
      <c r="D21" s="34"/>
      <c r="E21" s="34"/>
      <c r="F21" s="34"/>
      <c r="G21" s="34"/>
      <c r="H21" s="34"/>
      <c r="I21" s="34"/>
      <c r="J21" s="34"/>
      <c r="K21" s="4"/>
      <c r="L21" s="4"/>
      <c r="M21" s="4"/>
      <c r="N21" s="4"/>
      <c r="O21" s="4"/>
      <c r="P21" s="4"/>
      <c r="Q21" s="4"/>
    </row>
    <row r="22" spans="1:17" ht="38.25" customHeight="1" thickBot="1">
      <c r="A22" s="49" t="s">
        <v>19</v>
      </c>
      <c r="B22" s="50"/>
      <c r="C22" s="51" t="s">
        <v>20</v>
      </c>
      <c r="D22" s="52"/>
      <c r="E22" s="53" t="s">
        <v>21</v>
      </c>
      <c r="F22" s="50"/>
      <c r="G22" s="54" t="s">
        <v>22</v>
      </c>
      <c r="H22" s="52"/>
      <c r="I22" s="53" t="s">
        <v>23</v>
      </c>
      <c r="J22" s="52"/>
      <c r="K22" s="4"/>
      <c r="L22" s="4"/>
      <c r="M22" s="4"/>
      <c r="N22" s="4"/>
      <c r="O22" s="4"/>
      <c r="P22" s="4"/>
      <c r="Q22" s="4"/>
    </row>
    <row r="23" spans="1:17" ht="16.5" customHeight="1" thickBot="1">
      <c r="A23" s="59">
        <v>100</v>
      </c>
      <c r="B23" s="50"/>
      <c r="C23" s="60">
        <f>C24*100/150</f>
        <v>2.9333333333333336</v>
      </c>
      <c r="D23" s="52"/>
      <c r="E23" s="60">
        <f t="shared" ref="E23" si="5">E24*100/150</f>
        <v>3.3999999999999995</v>
      </c>
      <c r="F23" s="52"/>
      <c r="G23" s="60">
        <f t="shared" ref="G23" si="6">G24*100/150</f>
        <v>4.9333333333333336</v>
      </c>
      <c r="H23" s="52"/>
      <c r="I23" s="60">
        <f t="shared" ref="I23" si="7">I24*100/150</f>
        <v>62.666666666666664</v>
      </c>
      <c r="J23" s="52"/>
      <c r="K23" s="4"/>
      <c r="L23" s="4"/>
      <c r="M23" s="4"/>
      <c r="N23" s="4"/>
      <c r="O23" s="4"/>
      <c r="P23" s="4"/>
      <c r="Q23" s="4"/>
    </row>
    <row r="24" spans="1:17" ht="16.5" customHeight="1" thickBot="1">
      <c r="A24" s="59">
        <v>150</v>
      </c>
      <c r="B24" s="50"/>
      <c r="C24" s="60">
        <v>4.4000000000000004</v>
      </c>
      <c r="D24" s="52"/>
      <c r="E24" s="60">
        <v>5.0999999999999996</v>
      </c>
      <c r="F24" s="52"/>
      <c r="G24" s="60">
        <v>7.4</v>
      </c>
      <c r="H24" s="52"/>
      <c r="I24" s="60">
        <v>94</v>
      </c>
      <c r="J24" s="52"/>
      <c r="K24" s="4"/>
      <c r="L24" s="4"/>
      <c r="M24" s="4"/>
      <c r="N24" s="4"/>
      <c r="O24" s="4"/>
      <c r="P24" s="4"/>
      <c r="Q24" s="4"/>
    </row>
    <row r="25" spans="1:17" s="6" customFormat="1" ht="16.5" customHeight="1" thickBot="1">
      <c r="A25" s="61">
        <v>180</v>
      </c>
      <c r="B25" s="62"/>
      <c r="C25" s="60">
        <f>C23*180/100</f>
        <v>5.28</v>
      </c>
      <c r="D25" s="63"/>
      <c r="E25" s="60">
        <f t="shared" ref="E25" si="8">E23*180/100</f>
        <v>6.1199999999999992</v>
      </c>
      <c r="F25" s="63"/>
      <c r="G25" s="60">
        <f t="shared" ref="G25" si="9">G23*180/100</f>
        <v>8.8800000000000008</v>
      </c>
      <c r="H25" s="63"/>
      <c r="I25" s="60">
        <f t="shared" ref="I25" si="10">I23*180/100</f>
        <v>112.8</v>
      </c>
      <c r="J25" s="63"/>
      <c r="K25" s="4"/>
      <c r="L25" s="4"/>
      <c r="M25" s="4"/>
      <c r="N25" s="4"/>
      <c r="O25" s="4"/>
      <c r="P25" s="4"/>
      <c r="Q25" s="4"/>
    </row>
    <row r="26" spans="1:17" ht="16.5" customHeight="1" thickBot="1">
      <c r="A26" s="59">
        <v>200</v>
      </c>
      <c r="B26" s="50"/>
      <c r="C26" s="60">
        <v>5.9</v>
      </c>
      <c r="D26" s="50"/>
      <c r="E26" s="60">
        <v>6.7</v>
      </c>
      <c r="F26" s="50"/>
      <c r="G26" s="60">
        <v>9.9</v>
      </c>
      <c r="H26" s="50"/>
      <c r="I26" s="60">
        <v>125</v>
      </c>
      <c r="J26" s="52"/>
      <c r="K26" s="4"/>
      <c r="L26" s="4"/>
      <c r="M26" s="4"/>
      <c r="N26" s="4"/>
      <c r="O26" s="4"/>
      <c r="P26" s="4"/>
      <c r="Q26" s="4"/>
    </row>
    <row r="27" spans="1:17" ht="15.75" customHeight="1">
      <c r="A27" s="58"/>
      <c r="B27" s="34"/>
      <c r="C27" s="34"/>
      <c r="D27" s="34"/>
      <c r="E27" s="34"/>
      <c r="F27" s="34"/>
      <c r="G27" s="34"/>
      <c r="H27" s="34"/>
      <c r="I27" s="34"/>
      <c r="J27" s="34"/>
      <c r="K27" s="4"/>
      <c r="L27" s="4"/>
      <c r="M27" s="4"/>
      <c r="N27" s="4"/>
      <c r="O27" s="4"/>
      <c r="P27" s="4"/>
      <c r="Q27" s="4"/>
    </row>
    <row r="28" spans="1:17" ht="15.75" customHeight="1">
      <c r="A28" s="66"/>
      <c r="B28" s="34"/>
      <c r="C28" s="67"/>
      <c r="D28" s="34"/>
      <c r="E28" s="66"/>
      <c r="F28" s="34"/>
      <c r="G28" s="33"/>
      <c r="H28" s="34"/>
      <c r="I28" s="66"/>
      <c r="J28" s="34"/>
      <c r="K28" s="4"/>
      <c r="L28" s="4"/>
      <c r="M28" s="4"/>
      <c r="N28" s="4"/>
      <c r="O28" s="4"/>
      <c r="P28" s="4"/>
      <c r="Q28" s="4"/>
    </row>
    <row r="29" spans="1:17" ht="15.75" customHeight="1">
      <c r="A29" s="64"/>
      <c r="B29" s="34"/>
      <c r="C29" s="65"/>
      <c r="D29" s="34"/>
      <c r="E29" s="65"/>
      <c r="F29" s="34"/>
      <c r="G29" s="65"/>
      <c r="H29" s="34"/>
      <c r="I29" s="65"/>
      <c r="J29" s="34"/>
      <c r="K29" s="4"/>
      <c r="L29" s="4"/>
      <c r="M29" s="4"/>
      <c r="N29" s="4"/>
      <c r="O29" s="4"/>
      <c r="P29" s="4"/>
      <c r="Q29" s="4"/>
    </row>
    <row r="30" spans="1:17" ht="15.75" customHeight="1">
      <c r="A30" s="70" t="s">
        <v>24</v>
      </c>
      <c r="B30" s="71"/>
      <c r="C30" s="65"/>
      <c r="D30" s="34"/>
      <c r="E30" s="65"/>
      <c r="F30" s="34"/>
      <c r="G30" s="65"/>
      <c r="H30" s="34"/>
      <c r="I30" s="65"/>
      <c r="J30" s="34"/>
      <c r="K30" s="4"/>
      <c r="L30" s="4"/>
      <c r="M30" s="4"/>
      <c r="N30" s="4"/>
      <c r="O30" s="4"/>
      <c r="P30" s="4"/>
      <c r="Q30" s="4"/>
    </row>
    <row r="31" spans="1:17" ht="15.75" customHeight="1">
      <c r="A31" s="68"/>
      <c r="B31" s="34"/>
      <c r="C31" s="69"/>
      <c r="D31" s="34"/>
      <c r="E31" s="69"/>
      <c r="F31" s="34"/>
      <c r="G31" s="69"/>
      <c r="H31" s="34"/>
      <c r="I31" s="69"/>
      <c r="J31" s="34"/>
      <c r="K31" s="4"/>
      <c r="L31" s="4"/>
      <c r="M31" s="4"/>
      <c r="N31" s="4"/>
      <c r="O31" s="4"/>
      <c r="P31" s="4"/>
      <c r="Q31" s="4"/>
    </row>
    <row r="32" spans="1:17" ht="15.75" customHeight="1">
      <c r="A32" s="68"/>
      <c r="B32" s="34"/>
      <c r="C32" s="65"/>
      <c r="D32" s="34"/>
      <c r="E32" s="65"/>
      <c r="F32" s="34"/>
      <c r="G32" s="65"/>
      <c r="H32" s="34"/>
      <c r="I32" s="65"/>
      <c r="J32" s="34"/>
      <c r="K32" s="4"/>
      <c r="L32" s="4"/>
      <c r="M32" s="4"/>
      <c r="N32" s="4"/>
      <c r="O32" s="4"/>
      <c r="P32" s="4"/>
      <c r="Q32" s="4"/>
    </row>
    <row r="33" spans="1:17" ht="15.75" customHeight="1">
      <c r="A33" s="68"/>
      <c r="B33" s="34"/>
      <c r="C33" s="65"/>
      <c r="D33" s="34"/>
      <c r="E33" s="65"/>
      <c r="F33" s="34"/>
      <c r="G33" s="65"/>
      <c r="H33" s="34"/>
      <c r="I33" s="65"/>
      <c r="J33" s="34"/>
      <c r="K33" s="4"/>
      <c r="L33" s="4"/>
      <c r="M33" s="4"/>
      <c r="N33" s="4"/>
      <c r="O33" s="4"/>
      <c r="P33" s="4"/>
      <c r="Q33" s="4"/>
    </row>
    <row r="34" spans="1:17" ht="15.75" customHeight="1">
      <c r="A34" s="4"/>
      <c r="B34" s="1"/>
      <c r="C34" s="1"/>
      <c r="D34" s="1"/>
      <c r="E34" s="1"/>
      <c r="F34" s="1"/>
      <c r="G34" s="1"/>
      <c r="H34" s="1"/>
      <c r="I34" s="1"/>
      <c r="J34" s="1"/>
      <c r="K34" s="4"/>
      <c r="L34" s="4"/>
      <c r="M34" s="4"/>
      <c r="N34" s="4"/>
      <c r="O34" s="4"/>
      <c r="P34" s="4"/>
      <c r="Q34" s="4"/>
    </row>
    <row r="35" spans="1:17" ht="15.75" customHeight="1">
      <c r="A35" s="4"/>
      <c r="B35" s="1"/>
      <c r="C35" s="1"/>
      <c r="D35" s="1"/>
      <c r="E35" s="1"/>
      <c r="F35" s="1"/>
      <c r="G35" s="1"/>
      <c r="H35" s="1"/>
      <c r="I35" s="1"/>
      <c r="J35" s="1"/>
      <c r="K35" s="4"/>
      <c r="L35" s="4"/>
      <c r="M35" s="4"/>
      <c r="N35" s="4"/>
      <c r="O35" s="4"/>
      <c r="P35" s="4"/>
      <c r="Q35" s="4"/>
    </row>
    <row r="36" spans="1:17" ht="15.75" customHeight="1">
      <c r="A36" s="58"/>
      <c r="B36" s="34"/>
      <c r="C36" s="34"/>
      <c r="D36" s="34"/>
      <c r="E36" s="34"/>
      <c r="F36" s="34"/>
      <c r="G36" s="34"/>
      <c r="H36" s="34"/>
      <c r="I36" s="34"/>
      <c r="J36" s="34"/>
      <c r="K36" s="4"/>
      <c r="L36" s="4"/>
      <c r="M36" s="4"/>
      <c r="N36" s="4"/>
      <c r="O36" s="4"/>
      <c r="P36" s="4"/>
      <c r="Q36" s="4"/>
    </row>
    <row r="37" spans="1:17" ht="12.75" customHeight="1">
      <c r="A37" s="66"/>
      <c r="B37" s="34"/>
      <c r="C37" s="67"/>
      <c r="D37" s="34"/>
      <c r="E37" s="66"/>
      <c r="F37" s="34"/>
      <c r="G37" s="33"/>
      <c r="H37" s="34"/>
      <c r="I37" s="66"/>
      <c r="J37" s="34"/>
      <c r="K37" s="4"/>
      <c r="L37" s="4"/>
      <c r="M37" s="4"/>
      <c r="N37" s="4"/>
      <c r="O37" s="4"/>
      <c r="P37" s="4"/>
      <c r="Q37" s="4"/>
    </row>
    <row r="38" spans="1:17" ht="12.75" customHeight="1">
      <c r="A38" s="64"/>
      <c r="B38" s="34"/>
      <c r="C38" s="65"/>
      <c r="D38" s="34"/>
      <c r="E38" s="65"/>
      <c r="F38" s="34"/>
      <c r="G38" s="65"/>
      <c r="H38" s="34"/>
      <c r="I38" s="65"/>
      <c r="J38" s="34"/>
      <c r="K38" s="4"/>
      <c r="L38" s="4"/>
      <c r="M38" s="4"/>
      <c r="N38" s="4"/>
      <c r="O38" s="4"/>
      <c r="P38" s="4"/>
      <c r="Q38" s="4"/>
    </row>
    <row r="39" spans="1:17" ht="12.75" customHeight="1">
      <c r="A39" s="68"/>
      <c r="B39" s="34"/>
      <c r="C39" s="65"/>
      <c r="D39" s="34"/>
      <c r="E39" s="65"/>
      <c r="F39" s="34"/>
      <c r="G39" s="65"/>
      <c r="H39" s="34"/>
      <c r="I39" s="65"/>
      <c r="J39" s="34"/>
      <c r="K39" s="4"/>
      <c r="L39" s="4"/>
      <c r="M39" s="4"/>
      <c r="N39" s="4"/>
      <c r="O39" s="4"/>
      <c r="P39" s="4"/>
      <c r="Q39" s="4"/>
    </row>
    <row r="40" spans="1:17" ht="12.75" customHeight="1">
      <c r="A40" s="68"/>
      <c r="B40" s="34"/>
      <c r="C40" s="69"/>
      <c r="D40" s="34"/>
      <c r="E40" s="69"/>
      <c r="F40" s="34"/>
      <c r="G40" s="69"/>
      <c r="H40" s="34"/>
      <c r="I40" s="69"/>
      <c r="J40" s="34"/>
      <c r="K40" s="4"/>
      <c r="L40" s="4"/>
      <c r="M40" s="4"/>
      <c r="N40" s="4"/>
      <c r="O40" s="4"/>
      <c r="P40" s="4"/>
      <c r="Q40" s="4"/>
    </row>
    <row r="41" spans="1:17" ht="12.75" customHeight="1">
      <c r="A41" s="68"/>
      <c r="B41" s="34"/>
      <c r="C41" s="65"/>
      <c r="D41" s="34"/>
      <c r="E41" s="65"/>
      <c r="F41" s="34"/>
      <c r="G41" s="65"/>
      <c r="H41" s="34"/>
      <c r="I41" s="65"/>
      <c r="J41" s="34"/>
      <c r="K41" s="4"/>
      <c r="L41" s="4"/>
      <c r="M41" s="4"/>
      <c r="N41" s="4"/>
      <c r="O41" s="4"/>
      <c r="P41" s="4"/>
      <c r="Q41" s="4"/>
    </row>
    <row r="42" spans="1:17" ht="12.75" customHeight="1">
      <c r="A42" s="4"/>
      <c r="B42" s="1"/>
      <c r="C42" s="1"/>
      <c r="D42" s="1"/>
      <c r="E42" s="1"/>
      <c r="F42" s="1"/>
      <c r="G42" s="1"/>
      <c r="H42" s="1"/>
      <c r="I42" s="1"/>
      <c r="J42" s="1"/>
      <c r="K42" s="4"/>
      <c r="L42" s="4"/>
      <c r="M42" s="4"/>
      <c r="N42" s="4"/>
      <c r="O42" s="4"/>
      <c r="P42" s="4"/>
      <c r="Q42" s="4"/>
    </row>
    <row r="43" spans="1:17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15.75" customHeight="1">
      <c r="A44" s="4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15.75" customHeight="1">
      <c r="A45" s="4"/>
      <c r="B45" s="1"/>
      <c r="C45" s="1"/>
      <c r="D45" s="1"/>
      <c r="E45" s="1"/>
      <c r="F45" s="1"/>
      <c r="G45" s="1"/>
      <c r="H45" s="1"/>
      <c r="I45" s="1"/>
      <c r="J45" s="1"/>
      <c r="K45" s="4"/>
      <c r="L45" s="4"/>
      <c r="M45" s="4"/>
      <c r="N45" s="4"/>
      <c r="O45" s="4"/>
      <c r="P45" s="4"/>
      <c r="Q45" s="4"/>
    </row>
    <row r="46" spans="1:17" ht="15.75" customHeight="1">
      <c r="A46" s="4"/>
      <c r="B46" s="1"/>
      <c r="C46" s="1"/>
      <c r="D46" s="1"/>
      <c r="E46" s="1"/>
      <c r="F46" s="1"/>
      <c r="G46" s="1"/>
      <c r="H46" s="1"/>
      <c r="I46" s="1"/>
      <c r="J46" s="1"/>
      <c r="K46" s="4"/>
      <c r="L46" s="4"/>
      <c r="M46" s="4"/>
      <c r="N46" s="4"/>
      <c r="O46" s="4"/>
      <c r="P46" s="4"/>
      <c r="Q46" s="4"/>
    </row>
    <row r="47" spans="1:17" ht="15.75" customHeight="1">
      <c r="A47" s="4"/>
      <c r="B47" s="1"/>
      <c r="C47" s="1"/>
      <c r="D47" s="1"/>
      <c r="E47" s="1"/>
      <c r="F47" s="1"/>
      <c r="G47" s="1"/>
      <c r="H47" s="1"/>
      <c r="I47" s="1"/>
      <c r="J47" s="1"/>
      <c r="K47" s="4"/>
      <c r="L47" s="4"/>
      <c r="M47" s="4"/>
      <c r="N47" s="4"/>
      <c r="O47" s="4"/>
      <c r="P47" s="4"/>
      <c r="Q47" s="4"/>
    </row>
    <row r="48" spans="1:17" ht="15.75" customHeight="1">
      <c r="A48" s="4"/>
      <c r="B48" s="1"/>
      <c r="C48" s="1"/>
      <c r="D48" s="1"/>
      <c r="E48" s="1"/>
      <c r="F48" s="1"/>
      <c r="G48" s="1"/>
      <c r="H48" s="1"/>
      <c r="I48" s="1"/>
      <c r="J48" s="1"/>
      <c r="K48" s="4"/>
      <c r="L48" s="4"/>
      <c r="M48" s="4"/>
      <c r="N48" s="4"/>
      <c r="O48" s="4"/>
      <c r="P48" s="4"/>
      <c r="Q48" s="4"/>
    </row>
    <row r="49" spans="1:17" ht="15.75" customHeight="1">
      <c r="A49" s="4"/>
      <c r="B49" s="1"/>
      <c r="C49" s="1"/>
      <c r="D49" s="1"/>
      <c r="E49" s="1"/>
      <c r="F49" s="1"/>
      <c r="G49" s="1"/>
      <c r="H49" s="1"/>
      <c r="I49" s="1"/>
      <c r="J49" s="1"/>
      <c r="K49" s="4"/>
      <c r="L49" s="4"/>
      <c r="M49" s="4"/>
      <c r="N49" s="4"/>
      <c r="O49" s="4"/>
      <c r="P49" s="4"/>
      <c r="Q49" s="4"/>
    </row>
    <row r="50" spans="1:17" ht="15.75" customHeight="1">
      <c r="A50" s="4"/>
      <c r="B50" s="4"/>
      <c r="C50" s="4"/>
      <c r="D50" s="4"/>
      <c r="E50" s="4"/>
      <c r="F50" s="4"/>
      <c r="G50" s="1"/>
      <c r="H50" s="1"/>
      <c r="I50" s="1"/>
      <c r="J50" s="1"/>
      <c r="K50" s="4"/>
      <c r="L50" s="4"/>
      <c r="M50" s="4"/>
      <c r="N50" s="4"/>
      <c r="O50" s="4"/>
      <c r="P50" s="4"/>
      <c r="Q50" s="4"/>
    </row>
    <row r="51" spans="1:17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ht="15.75" customHeight="1"/>
    <row r="228" spans="1:17" ht="15.75" customHeight="1"/>
    <row r="229" spans="1:17" ht="15.75" customHeight="1"/>
    <row r="230" spans="1:17" ht="15.75" customHeight="1"/>
    <row r="231" spans="1:17" ht="15.75" customHeight="1"/>
    <row r="232" spans="1:17" ht="15.75" customHeight="1"/>
    <row r="233" spans="1:17" ht="15.75" customHeight="1"/>
    <row r="234" spans="1:17" ht="15.75" customHeight="1"/>
    <row r="235" spans="1:17" ht="15.75" customHeight="1"/>
    <row r="236" spans="1:17" ht="15.75" customHeight="1"/>
    <row r="237" spans="1:17" ht="15.75" customHeight="1"/>
    <row r="238" spans="1:17" ht="15.75" customHeight="1"/>
    <row r="239" spans="1:17" ht="15.75" customHeight="1"/>
    <row r="240" spans="1:1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99"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36:J36"/>
    <mergeCell ref="A37:B37"/>
    <mergeCell ref="C37:D37"/>
    <mergeCell ref="E37:F37"/>
    <mergeCell ref="G37:H37"/>
    <mergeCell ref="I37:J37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J27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15:G15"/>
    <mergeCell ref="A16:J16"/>
    <mergeCell ref="A17:J18"/>
    <mergeCell ref="A19:F19"/>
    <mergeCell ref="A21:J21"/>
    <mergeCell ref="A22:B22"/>
    <mergeCell ref="C22:D22"/>
    <mergeCell ref="E22:F22"/>
    <mergeCell ref="G22:H22"/>
    <mergeCell ref="I22:J22"/>
    <mergeCell ref="A14:J14"/>
    <mergeCell ref="G4:I4"/>
    <mergeCell ref="A6:J6"/>
    <mergeCell ref="A7:J7"/>
    <mergeCell ref="A8:A9"/>
    <mergeCell ref="C8:D8"/>
    <mergeCell ref="E8:J8"/>
    <mergeCell ref="A13:B13"/>
    <mergeCell ref="C13:D13"/>
    <mergeCell ref="E13:F13"/>
    <mergeCell ref="G13:H13"/>
    <mergeCell ref="I13:J13"/>
  </mergeCells>
  <pageMargins left="0.7" right="0.7" top="0.75" bottom="0.75" header="0" footer="0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Какао з молоком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Жемчужина</cp:lastModifiedBy>
  <dcterms:created xsi:type="dcterms:W3CDTF">2022-02-17T12:30:43Z</dcterms:created>
  <dcterms:modified xsi:type="dcterms:W3CDTF">2026-07-23T11:16:40Z</dcterms:modified>
</cp:coreProperties>
</file>