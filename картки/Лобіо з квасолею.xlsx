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лобіо з квасолею" sheetId="1" r:id="rId1"/>
  </sheets>
  <calcPr calcId="18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1" i="1"/>
  <c r="L12"/>
  <c r="L13"/>
  <c r="L14"/>
  <c r="L15"/>
  <c r="L16"/>
  <c r="L17"/>
  <c r="L18"/>
  <c r="L10"/>
  <c r="K11"/>
  <c r="K12"/>
  <c r="K13"/>
  <c r="K14"/>
  <c r="K15"/>
  <c r="K16"/>
  <c r="K17"/>
  <c r="K18"/>
  <c r="K10"/>
  <c r="J11"/>
  <c r="J12"/>
  <c r="J13"/>
  <c r="J14"/>
  <c r="J15"/>
  <c r="J16"/>
  <c r="J17"/>
  <c r="J18"/>
  <c r="J10"/>
  <c r="I11"/>
  <c r="I12"/>
  <c r="I13"/>
  <c r="I14"/>
  <c r="I15"/>
  <c r="I16"/>
  <c r="I17"/>
  <c r="I18"/>
  <c r="I10"/>
  <c r="H11"/>
  <c r="H12"/>
  <c r="H13"/>
  <c r="H14"/>
  <c r="H15"/>
  <c r="H16"/>
  <c r="H17"/>
  <c r="H18"/>
  <c r="F10"/>
  <c r="H10"/>
  <c r="G11"/>
  <c r="G12"/>
  <c r="G13"/>
  <c r="G14"/>
  <c r="G15"/>
  <c r="G16"/>
  <c r="G17"/>
  <c r="G18"/>
  <c r="G10"/>
  <c r="F11"/>
  <c r="F12"/>
  <c r="F13"/>
  <c r="F14"/>
  <c r="F15"/>
  <c r="F16"/>
  <c r="F17"/>
  <c r="F18"/>
  <c r="E11"/>
  <c r="E12"/>
  <c r="E13"/>
  <c r="E14"/>
  <c r="E15"/>
  <c r="E16"/>
  <c r="E17"/>
  <c r="E18"/>
  <c r="E10"/>
</calcChain>
</file>

<file path=xl/sharedStrings.xml><?xml version="1.0" encoding="utf-8"?>
<sst xmlns="http://schemas.openxmlformats.org/spreadsheetml/2006/main" count="47" uniqueCount="38">
  <si>
    <t>Державна установа "Інститут громадського здоров'я", рец. № 08.07</t>
  </si>
  <si>
    <t>ЗАТВЕРДЖУЮ</t>
  </si>
  <si>
    <t xml:space="preserve">Директор </t>
  </si>
  <si>
    <t>______________________</t>
  </si>
  <si>
    <t>_____________ 20</t>
  </si>
  <si>
    <t xml:space="preserve">             Технологічна карта </t>
  </si>
  <si>
    <t>Лобіо з квасолею</t>
  </si>
  <si>
    <t>№ з/п</t>
  </si>
  <si>
    <t>Найменування сировини</t>
  </si>
  <si>
    <t>Маса, г</t>
  </si>
  <si>
    <t xml:space="preserve">Норма вмісту на 1 порцію, г </t>
  </si>
  <si>
    <t>брутто, г</t>
  </si>
  <si>
    <t>нетто, г</t>
  </si>
  <si>
    <t>Квасоля червона відварена                               Технологічна карта № 08.09)</t>
  </si>
  <si>
    <t>Цибуля ріпчаста</t>
  </si>
  <si>
    <t>Морква столова свіжа до 01.01.</t>
  </si>
  <si>
    <t>Морква столова свіжа з 01.01.</t>
  </si>
  <si>
    <t>Томатний сік</t>
  </si>
  <si>
    <t>Вода питна</t>
  </si>
  <si>
    <t>Сіль йодована</t>
  </si>
  <si>
    <t>Олія соняшникова</t>
  </si>
  <si>
    <t>Вихід готової страви, г</t>
  </si>
  <si>
    <t>Харчові продукти і продовольча сировина з яких виготовляються готові страви, відповідають вимогам чинних нормативно-правових актів України щодо показників якості та безпеки харчових продуктів, упаковки, маркування, транспортування, приймання і зберігання.</t>
  </si>
  <si>
    <t xml:space="preserve">Відхилення до маси порції+-3%
Наявність харчових алергенів у страві: МП-молочні продукти, Л-лактоза
</t>
  </si>
  <si>
    <t>Технологія приготування страви</t>
  </si>
  <si>
    <t xml:space="preserve">Цибулю та моркву очищають, нарізають дрібним кубиком, пасерують на олії, додають відварену квасолю, заливають томатним соком і водою. Тушкують 10-15 хв., доводять до смаку. </t>
  </si>
  <si>
    <t xml:space="preserve">                                                                          Характеристика готової страви</t>
  </si>
  <si>
    <t xml:space="preserve">Зовнішній вигляд: квасоля не розварена, зберегла свою форму
Смак і запах: відповідають продуктам, які входять до складу страви.
Консистенція: квасолі-м'яка, цибулі та моркви-м'яка, соковита. 
</t>
  </si>
  <si>
    <t>Термін придатності до споживання та умови зберігання</t>
  </si>
  <si>
    <t>Термін придатності до споживання та умови зберігання 2 години на марміті з моменту приготування. Температура подачі +65°C</t>
  </si>
  <si>
    <t xml:space="preserve">ХАРЧОВА (ПОЖИВНА) ТА ЕНЕРГЕТИЧНА ЦІННІСТЬ (КАЛОРІЙНІСТЬ) 1 ПОРЦІЇ: </t>
  </si>
  <si>
    <t>Маса порції, г</t>
  </si>
  <si>
    <t>Білки, г</t>
  </si>
  <si>
    <t>Жири, г</t>
  </si>
  <si>
    <t>Вуглеводи, г</t>
  </si>
  <si>
    <t>Енергетична цінність, ккал</t>
  </si>
  <si>
    <t xml:space="preserve">Карту склав: фахівець-технолог     </t>
  </si>
  <si>
    <t>або томат паста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</si>
</sst>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0"/>
      <color rgb="FF000000"/>
      <name val="Arial"/>
    </font>
    <font>
      <sz val="12"/>
      <color theme="1"/>
      <name val="Times New Roman"/>
    </font>
    <font>
      <b/>
      <sz val="12"/>
      <color theme="1"/>
      <name val="Times New Roman"/>
      <family val="1"/>
      <charset val="204"/>
    </font>
    <font>
      <b/>
      <sz val="12"/>
      <color theme="1"/>
      <name val="Times New Roman"/>
    </font>
    <font>
      <sz val="12"/>
      <color theme="1"/>
      <name val="Arial"/>
    </font>
    <font>
      <sz val="10"/>
      <name val="Arial"/>
    </font>
    <font>
      <b/>
      <sz val="10"/>
      <color theme="1"/>
      <name val="Times New Roman"/>
    </font>
    <font>
      <sz val="12"/>
      <color theme="1"/>
      <name val="Times New Roman"/>
      <family val="1"/>
      <charset val="204"/>
    </font>
    <font>
      <b/>
      <sz val="12"/>
      <color rgb="FF980000"/>
      <name val="Times New Roman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i/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7" fillId="0" borderId="12" xfId="0" applyFont="1" applyBorder="1" applyAlignment="1">
      <alignment wrapText="1"/>
    </xf>
    <xf numFmtId="164" fontId="1" fillId="0" borderId="13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9" fontId="1" fillId="0" borderId="17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/>
    </xf>
    <xf numFmtId="9" fontId="1" fillId="0" borderId="12" xfId="0" applyNumberFormat="1" applyFont="1" applyBorder="1" applyAlignment="1">
      <alignment horizontal="left"/>
    </xf>
    <xf numFmtId="0" fontId="7" fillId="0" borderId="12" xfId="0" applyFont="1" applyBorder="1"/>
    <xf numFmtId="164" fontId="1" fillId="0" borderId="19" xfId="0" applyNumberFormat="1" applyFont="1" applyBorder="1" applyAlignment="1">
      <alignment horizontal="center"/>
    </xf>
    <xf numFmtId="0" fontId="7" fillId="0" borderId="12" xfId="0" applyFont="1" applyBorder="1" applyAlignment="1">
      <alignment horizontal="left" vertical="center"/>
    </xf>
    <xf numFmtId="0" fontId="5" fillId="0" borderId="0" xfId="0" applyFont="1"/>
    <xf numFmtId="0" fontId="1" fillId="0" borderId="0" xfId="0" applyFont="1" applyAlignment="1">
      <alignment horizontal="left" vertical="center" wrapText="1"/>
    </xf>
    <xf numFmtId="0" fontId="10" fillId="0" borderId="0" xfId="0" applyFont="1"/>
    <xf numFmtId="0" fontId="1" fillId="0" borderId="0" xfId="0" applyFont="1" applyAlignment="1">
      <alignment horizontal="left" vertical="center"/>
    </xf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1" fillId="0" borderId="0" xfId="0" applyFont="1" applyAlignment="1">
      <alignment horizontal="center"/>
    </xf>
    <xf numFmtId="0" fontId="0" fillId="0" borderId="0" xfId="0"/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22" xfId="0" applyFont="1" applyBorder="1" applyAlignment="1">
      <alignment horizontal="center"/>
    </xf>
    <xf numFmtId="0" fontId="5" fillId="0" borderId="23" xfId="0" applyFont="1" applyBorder="1"/>
    <xf numFmtId="2" fontId="1" fillId="0" borderId="22" xfId="0" applyNumberFormat="1" applyFont="1" applyBorder="1" applyAlignment="1">
      <alignment horizontal="center"/>
    </xf>
    <xf numFmtId="0" fontId="5" fillId="0" borderId="24" xfId="0" applyFont="1" applyBorder="1"/>
    <xf numFmtId="0" fontId="12" fillId="0" borderId="0" xfId="0" applyFont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0" fontId="3" fillId="0" borderId="25" xfId="0" applyFont="1" applyBorder="1" applyAlignment="1">
      <alignment horizontal="center" vertical="center" wrapText="1"/>
    </xf>
    <xf numFmtId="0" fontId="5" fillId="0" borderId="26" xfId="0" applyFont="1" applyBorder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0" borderId="6" xfId="0" applyFont="1" applyBorder="1"/>
    <xf numFmtId="0" fontId="3" fillId="0" borderId="4" xfId="0" applyFont="1" applyBorder="1" applyAlignment="1">
      <alignment horizontal="center" vertical="center"/>
    </xf>
    <xf numFmtId="0" fontId="5" fillId="0" borderId="20" xfId="0" applyFont="1" applyBorder="1"/>
    <xf numFmtId="0" fontId="3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0" fontId="5" fillId="0" borderId="0" xfId="0" applyFont="1"/>
    <xf numFmtId="0" fontId="9" fillId="0" borderId="0" xfId="0" applyFont="1" applyAlignment="1">
      <alignment horizontal="left" wrapText="1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1" xfId="0" applyFont="1" applyBorder="1" applyAlignment="1">
      <alignment vertical="top" wrapText="1"/>
    </xf>
    <xf numFmtId="0" fontId="5" fillId="0" borderId="7" xfId="0" applyFont="1" applyBorder="1"/>
    <xf numFmtId="0" fontId="3" fillId="0" borderId="3" xfId="0" applyFont="1" applyBorder="1" applyAlignment="1">
      <alignment horizontal="center" vertical="center"/>
    </xf>
    <xf numFmtId="0" fontId="5" fillId="0" borderId="2" xfId="0" applyFont="1" applyBorder="1"/>
    <xf numFmtId="0" fontId="3" fillId="0" borderId="4" xfId="0" applyFont="1" applyBorder="1" applyAlignment="1">
      <alignment horizontal="center" vertical="center" wrapText="1"/>
    </xf>
    <xf numFmtId="0" fontId="5" fillId="0" borderId="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FF00"/>
  </sheetPr>
  <dimension ref="A1:S994"/>
  <sheetViews>
    <sheetView tabSelected="1" topLeftCell="A24" zoomScale="90" zoomScaleNormal="90" workbookViewId="0">
      <selection activeCell="O38" sqref="O38"/>
    </sheetView>
  </sheetViews>
  <sheetFormatPr defaultColWidth="14.42578125" defaultRowHeight="15" customHeight="1"/>
  <cols>
    <col min="1" max="1" width="4.42578125" customWidth="1"/>
    <col min="2" max="2" width="52.7109375" customWidth="1"/>
    <col min="3" max="4" width="8.140625" customWidth="1"/>
    <col min="5" max="5" width="9.28515625" customWidth="1"/>
    <col min="6" max="6" width="8.7109375" customWidth="1"/>
    <col min="7" max="7" width="8.140625" customWidth="1"/>
    <col min="8" max="10" width="8.5703125" customWidth="1"/>
    <col min="11" max="11" width="8.42578125" customWidth="1"/>
    <col min="12" max="12" width="9.42578125" customWidth="1"/>
    <col min="13" max="19" width="8" customWidth="1"/>
  </cols>
  <sheetData>
    <row r="1" spans="1:19" ht="40.9" customHeight="1">
      <c r="A1" s="1"/>
      <c r="B1" s="2" t="s">
        <v>0</v>
      </c>
      <c r="C1" s="1"/>
      <c r="D1" s="1"/>
      <c r="E1" s="1"/>
      <c r="F1" s="1"/>
      <c r="G1" s="3" t="s">
        <v>1</v>
      </c>
      <c r="H1" s="3"/>
      <c r="I1" s="3"/>
      <c r="J1" s="3"/>
      <c r="K1" s="1"/>
      <c r="L1" s="1"/>
      <c r="M1" s="4"/>
      <c r="N1" s="4"/>
      <c r="O1" s="4"/>
      <c r="P1" s="4"/>
      <c r="Q1" s="4"/>
      <c r="R1" s="4"/>
      <c r="S1" s="4"/>
    </row>
    <row r="2" spans="1:19" ht="15.75" customHeight="1">
      <c r="A2" s="1"/>
      <c r="B2" s="5"/>
      <c r="C2" s="1"/>
      <c r="D2" s="1"/>
      <c r="E2" s="1"/>
      <c r="F2" s="1"/>
      <c r="G2" s="3" t="s">
        <v>2</v>
      </c>
      <c r="H2" s="3"/>
      <c r="I2" s="3"/>
      <c r="J2" s="3"/>
      <c r="K2" s="1"/>
      <c r="L2" s="1"/>
      <c r="M2" s="4"/>
      <c r="N2" s="4"/>
      <c r="O2" s="4"/>
      <c r="P2" s="4"/>
      <c r="Q2" s="4"/>
      <c r="R2" s="4"/>
      <c r="S2" s="4"/>
    </row>
    <row r="3" spans="1:19" ht="15.75" customHeight="1">
      <c r="A3" s="1"/>
      <c r="B3" s="1"/>
      <c r="C3" s="1"/>
      <c r="D3" s="1"/>
      <c r="E3" s="1"/>
      <c r="F3" s="1"/>
      <c r="G3" s="3" t="s">
        <v>3</v>
      </c>
      <c r="H3" s="3"/>
      <c r="I3" s="3"/>
      <c r="J3" s="3"/>
      <c r="K3" s="1"/>
      <c r="L3" s="1"/>
      <c r="M3" s="4"/>
      <c r="N3" s="4"/>
      <c r="O3" s="4"/>
      <c r="P3" s="4"/>
      <c r="Q3" s="4"/>
      <c r="R3" s="4"/>
      <c r="S3" s="4"/>
    </row>
    <row r="4" spans="1:19" ht="15.75" customHeight="1">
      <c r="A4" s="1"/>
      <c r="B4" s="1"/>
      <c r="C4" s="1"/>
      <c r="D4" s="1"/>
      <c r="E4" s="1"/>
      <c r="F4" s="1"/>
      <c r="G4" s="43" t="s">
        <v>3</v>
      </c>
      <c r="H4" s="38"/>
      <c r="I4" s="38"/>
      <c r="J4" s="38"/>
      <c r="K4" s="38"/>
      <c r="L4" s="1"/>
      <c r="M4" s="4"/>
      <c r="N4" s="4"/>
      <c r="O4" s="4"/>
      <c r="P4" s="4"/>
      <c r="Q4" s="4"/>
      <c r="R4" s="4"/>
      <c r="S4" s="4"/>
    </row>
    <row r="5" spans="1:19" ht="15.75" customHeight="1">
      <c r="A5" s="1"/>
      <c r="B5" s="1"/>
      <c r="C5" s="1"/>
      <c r="D5" s="1"/>
      <c r="E5" s="1"/>
      <c r="F5" s="1"/>
      <c r="G5" s="3" t="s">
        <v>4</v>
      </c>
      <c r="H5" s="3"/>
      <c r="I5" s="3"/>
      <c r="J5" s="3"/>
      <c r="K5" s="1"/>
      <c r="L5" s="1"/>
      <c r="M5" s="4"/>
      <c r="N5" s="4"/>
      <c r="O5" s="4"/>
      <c r="P5" s="4"/>
      <c r="Q5" s="4"/>
      <c r="R5" s="4"/>
      <c r="S5" s="4"/>
    </row>
    <row r="6" spans="1:19" ht="15.75" customHeight="1">
      <c r="A6" s="70" t="s">
        <v>5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4"/>
      <c r="N6" s="4"/>
      <c r="O6" s="4"/>
      <c r="P6" s="4"/>
      <c r="Q6" s="4"/>
      <c r="R6" s="4"/>
      <c r="S6" s="4"/>
    </row>
    <row r="7" spans="1:19" ht="20.25" customHeight="1" thickBot="1">
      <c r="A7" s="71" t="s">
        <v>6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4"/>
      <c r="N7" s="4"/>
      <c r="O7" s="4"/>
      <c r="P7" s="4"/>
      <c r="Q7" s="4"/>
      <c r="R7" s="4"/>
      <c r="S7" s="4"/>
    </row>
    <row r="8" spans="1:19" ht="16.5" customHeight="1" thickBot="1">
      <c r="A8" s="73" t="s">
        <v>7</v>
      </c>
      <c r="B8" s="7" t="s">
        <v>8</v>
      </c>
      <c r="C8" s="75" t="s">
        <v>9</v>
      </c>
      <c r="D8" s="76"/>
      <c r="E8" s="77" t="s">
        <v>10</v>
      </c>
      <c r="F8" s="78"/>
      <c r="G8" s="78"/>
      <c r="H8" s="78"/>
      <c r="I8" s="78"/>
      <c r="J8" s="78"/>
      <c r="K8" s="78"/>
      <c r="L8" s="62"/>
      <c r="M8" s="4"/>
      <c r="N8" s="4"/>
      <c r="O8" s="4"/>
      <c r="P8" s="4"/>
      <c r="Q8" s="4"/>
      <c r="R8" s="4"/>
      <c r="S8" s="4"/>
    </row>
    <row r="9" spans="1:19" ht="13.5" customHeight="1" thickBot="1">
      <c r="A9" s="74"/>
      <c r="B9" s="8"/>
      <c r="C9" s="9" t="s">
        <v>11</v>
      </c>
      <c r="D9" s="10" t="s">
        <v>12</v>
      </c>
      <c r="E9" s="9" t="s">
        <v>11</v>
      </c>
      <c r="F9" s="11" t="s">
        <v>12</v>
      </c>
      <c r="G9" s="9" t="s">
        <v>11</v>
      </c>
      <c r="H9" s="11" t="s">
        <v>12</v>
      </c>
      <c r="I9" s="12" t="s">
        <v>11</v>
      </c>
      <c r="J9" s="12" t="s">
        <v>12</v>
      </c>
      <c r="K9" s="9" t="s">
        <v>11</v>
      </c>
      <c r="L9" s="10" t="s">
        <v>12</v>
      </c>
      <c r="M9" s="4"/>
      <c r="N9" s="4"/>
      <c r="O9" s="4"/>
      <c r="P9" s="4"/>
      <c r="Q9" s="4"/>
      <c r="R9" s="4"/>
      <c r="S9" s="4"/>
    </row>
    <row r="10" spans="1:19" ht="35.450000000000003" customHeight="1">
      <c r="A10" s="13">
        <v>1</v>
      </c>
      <c r="B10" s="14" t="s">
        <v>13</v>
      </c>
      <c r="C10" s="15">
        <v>500</v>
      </c>
      <c r="D10" s="16">
        <v>500</v>
      </c>
      <c r="E10" s="15">
        <f>C10*300/1000</f>
        <v>150</v>
      </c>
      <c r="F10" s="17">
        <f>D10*300/1000</f>
        <v>150</v>
      </c>
      <c r="G10" s="15">
        <f>C10*250/1000</f>
        <v>125</v>
      </c>
      <c r="H10" s="17">
        <f>D10*250/1000</f>
        <v>125</v>
      </c>
      <c r="I10" s="15">
        <f>C10*180/1000</f>
        <v>90</v>
      </c>
      <c r="J10" s="17">
        <f>D10*180/1000</f>
        <v>90</v>
      </c>
      <c r="K10" s="15">
        <f>C10*100/1000</f>
        <v>50</v>
      </c>
      <c r="L10" s="17">
        <f>D10*100/1000</f>
        <v>50</v>
      </c>
      <c r="M10" s="4"/>
      <c r="N10" s="4"/>
      <c r="O10" s="4"/>
      <c r="P10" s="4"/>
      <c r="Q10" s="4"/>
      <c r="R10" s="4"/>
      <c r="S10" s="4"/>
    </row>
    <row r="11" spans="1:19" ht="20.45" customHeight="1">
      <c r="A11" s="18">
        <v>2</v>
      </c>
      <c r="B11" s="19" t="s">
        <v>14</v>
      </c>
      <c r="C11" s="20">
        <v>119</v>
      </c>
      <c r="D11" s="21">
        <v>100</v>
      </c>
      <c r="E11" s="15">
        <f t="shared" ref="E11:E18" si="0">C11*300/1000</f>
        <v>35.700000000000003</v>
      </c>
      <c r="F11" s="17">
        <f t="shared" ref="F11:F18" si="1">D11*300/1000</f>
        <v>30</v>
      </c>
      <c r="G11" s="15">
        <f t="shared" ref="G11:G18" si="2">C11*250/1000</f>
        <v>29.75</v>
      </c>
      <c r="H11" s="17">
        <f t="shared" ref="H11:H18" si="3">D11*250/1000</f>
        <v>25</v>
      </c>
      <c r="I11" s="15">
        <f t="shared" ref="I11:I18" si="4">C11*180/1000</f>
        <v>21.42</v>
      </c>
      <c r="J11" s="17">
        <f t="shared" ref="J11:J18" si="5">D11*180/1000</f>
        <v>18</v>
      </c>
      <c r="K11" s="15">
        <f t="shared" ref="K11:K18" si="6">C11*100/1000</f>
        <v>11.9</v>
      </c>
      <c r="L11" s="17">
        <f t="shared" ref="L11:L18" si="7">D11*100/1000</f>
        <v>10</v>
      </c>
      <c r="M11" s="4"/>
      <c r="N11" s="4"/>
      <c r="O11" s="4"/>
      <c r="P11" s="4"/>
      <c r="Q11" s="4"/>
      <c r="R11" s="4"/>
      <c r="S11" s="4"/>
    </row>
    <row r="12" spans="1:19" ht="18.75" customHeight="1">
      <c r="A12" s="18">
        <v>3</v>
      </c>
      <c r="B12" s="23" t="s">
        <v>15</v>
      </c>
      <c r="C12" s="15">
        <v>125</v>
      </c>
      <c r="D12" s="16">
        <v>100</v>
      </c>
      <c r="E12" s="15">
        <f t="shared" si="0"/>
        <v>37.5</v>
      </c>
      <c r="F12" s="17">
        <f t="shared" si="1"/>
        <v>30</v>
      </c>
      <c r="G12" s="15">
        <f t="shared" si="2"/>
        <v>31.25</v>
      </c>
      <c r="H12" s="17">
        <f t="shared" si="3"/>
        <v>25</v>
      </c>
      <c r="I12" s="15">
        <f t="shared" si="4"/>
        <v>22.5</v>
      </c>
      <c r="J12" s="17">
        <f t="shared" si="5"/>
        <v>18</v>
      </c>
      <c r="K12" s="15">
        <f t="shared" si="6"/>
        <v>12.5</v>
      </c>
      <c r="L12" s="17">
        <f t="shared" si="7"/>
        <v>10</v>
      </c>
      <c r="M12" s="4"/>
      <c r="N12" s="4"/>
      <c r="O12" s="4"/>
      <c r="P12" s="4"/>
      <c r="Q12" s="4"/>
      <c r="R12" s="4"/>
      <c r="S12" s="4"/>
    </row>
    <row r="13" spans="1:19" ht="18.75" customHeight="1">
      <c r="A13" s="18"/>
      <c r="B13" s="23" t="s">
        <v>16</v>
      </c>
      <c r="C13" s="15">
        <v>133</v>
      </c>
      <c r="D13" s="16">
        <v>100</v>
      </c>
      <c r="E13" s="15">
        <f t="shared" si="0"/>
        <v>39.9</v>
      </c>
      <c r="F13" s="17">
        <f t="shared" si="1"/>
        <v>30</v>
      </c>
      <c r="G13" s="15">
        <f t="shared" si="2"/>
        <v>33.25</v>
      </c>
      <c r="H13" s="17">
        <f t="shared" si="3"/>
        <v>25</v>
      </c>
      <c r="I13" s="15">
        <f t="shared" si="4"/>
        <v>23.94</v>
      </c>
      <c r="J13" s="17">
        <f t="shared" si="5"/>
        <v>18</v>
      </c>
      <c r="K13" s="15">
        <f t="shared" si="6"/>
        <v>13.3</v>
      </c>
      <c r="L13" s="17">
        <f t="shared" si="7"/>
        <v>10</v>
      </c>
      <c r="M13" s="4"/>
      <c r="N13" s="4"/>
      <c r="O13" s="4"/>
      <c r="P13" s="4"/>
      <c r="Q13" s="4"/>
      <c r="R13" s="4"/>
      <c r="S13" s="4"/>
    </row>
    <row r="14" spans="1:19" ht="18.75" customHeight="1">
      <c r="A14" s="18">
        <v>4</v>
      </c>
      <c r="B14" s="23" t="s">
        <v>17</v>
      </c>
      <c r="C14" s="15">
        <v>300</v>
      </c>
      <c r="D14" s="16">
        <v>300</v>
      </c>
      <c r="E14" s="15">
        <f t="shared" si="0"/>
        <v>90</v>
      </c>
      <c r="F14" s="17">
        <f t="shared" si="1"/>
        <v>90</v>
      </c>
      <c r="G14" s="15">
        <f t="shared" si="2"/>
        <v>75</v>
      </c>
      <c r="H14" s="17">
        <f t="shared" si="3"/>
        <v>75</v>
      </c>
      <c r="I14" s="15">
        <f t="shared" si="4"/>
        <v>54</v>
      </c>
      <c r="J14" s="17">
        <f t="shared" si="5"/>
        <v>54</v>
      </c>
      <c r="K14" s="15">
        <f t="shared" si="6"/>
        <v>30</v>
      </c>
      <c r="L14" s="17">
        <f t="shared" si="7"/>
        <v>30</v>
      </c>
      <c r="M14" s="4"/>
      <c r="N14" s="4"/>
      <c r="O14" s="4"/>
      <c r="P14" s="4"/>
      <c r="Q14" s="4"/>
      <c r="R14" s="4"/>
      <c r="S14" s="4"/>
    </row>
    <row r="15" spans="1:19" s="6" customFormat="1" ht="18.75" customHeight="1">
      <c r="A15" s="18"/>
      <c r="B15" s="23" t="s">
        <v>37</v>
      </c>
      <c r="C15" s="15">
        <v>58</v>
      </c>
      <c r="D15" s="16">
        <v>58</v>
      </c>
      <c r="E15" s="15">
        <f t="shared" si="0"/>
        <v>17.399999999999999</v>
      </c>
      <c r="F15" s="17">
        <f t="shared" si="1"/>
        <v>17.399999999999999</v>
      </c>
      <c r="G15" s="15">
        <f t="shared" si="2"/>
        <v>14.5</v>
      </c>
      <c r="H15" s="17">
        <f t="shared" si="3"/>
        <v>14.5</v>
      </c>
      <c r="I15" s="15">
        <f t="shared" si="4"/>
        <v>10.44</v>
      </c>
      <c r="J15" s="17">
        <f t="shared" si="5"/>
        <v>10.44</v>
      </c>
      <c r="K15" s="15">
        <f t="shared" si="6"/>
        <v>5.8</v>
      </c>
      <c r="L15" s="17">
        <f t="shared" si="7"/>
        <v>5.8</v>
      </c>
      <c r="M15" s="4"/>
      <c r="N15" s="4"/>
      <c r="O15" s="4"/>
      <c r="P15" s="4"/>
      <c r="Q15" s="4"/>
      <c r="R15" s="4"/>
      <c r="S15" s="4"/>
    </row>
    <row r="16" spans="1:19" ht="18.75" customHeight="1">
      <c r="A16" s="18">
        <v>5</v>
      </c>
      <c r="B16" s="24" t="s">
        <v>18</v>
      </c>
      <c r="C16" s="15">
        <v>300</v>
      </c>
      <c r="D16" s="16">
        <v>300</v>
      </c>
      <c r="E16" s="15">
        <f t="shared" si="0"/>
        <v>90</v>
      </c>
      <c r="F16" s="17">
        <f t="shared" si="1"/>
        <v>90</v>
      </c>
      <c r="G16" s="15">
        <f t="shared" si="2"/>
        <v>75</v>
      </c>
      <c r="H16" s="17">
        <f t="shared" si="3"/>
        <v>75</v>
      </c>
      <c r="I16" s="15">
        <f t="shared" si="4"/>
        <v>54</v>
      </c>
      <c r="J16" s="17">
        <f t="shared" si="5"/>
        <v>54</v>
      </c>
      <c r="K16" s="15">
        <f t="shared" si="6"/>
        <v>30</v>
      </c>
      <c r="L16" s="17">
        <f t="shared" si="7"/>
        <v>30</v>
      </c>
      <c r="M16" s="4"/>
      <c r="N16" s="4"/>
      <c r="O16" s="4"/>
      <c r="P16" s="4"/>
      <c r="Q16" s="4"/>
      <c r="R16" s="4"/>
      <c r="S16" s="4"/>
    </row>
    <row r="17" spans="1:19" ht="18.75" customHeight="1">
      <c r="A17" s="18">
        <v>6</v>
      </c>
      <c r="B17" s="23" t="s">
        <v>19</v>
      </c>
      <c r="C17" s="22">
        <v>3</v>
      </c>
      <c r="D17" s="25">
        <v>3</v>
      </c>
      <c r="E17" s="15">
        <f t="shared" si="0"/>
        <v>0.9</v>
      </c>
      <c r="F17" s="17">
        <f t="shared" si="1"/>
        <v>0.9</v>
      </c>
      <c r="G17" s="15">
        <f t="shared" si="2"/>
        <v>0.75</v>
      </c>
      <c r="H17" s="17">
        <f t="shared" si="3"/>
        <v>0.75</v>
      </c>
      <c r="I17" s="15">
        <f t="shared" si="4"/>
        <v>0.54</v>
      </c>
      <c r="J17" s="17">
        <f t="shared" si="5"/>
        <v>0.54</v>
      </c>
      <c r="K17" s="15">
        <f t="shared" si="6"/>
        <v>0.3</v>
      </c>
      <c r="L17" s="17">
        <f t="shared" si="7"/>
        <v>0.3</v>
      </c>
      <c r="M17" s="4"/>
      <c r="N17" s="4"/>
      <c r="O17" s="4"/>
      <c r="P17" s="4"/>
      <c r="Q17" s="4"/>
      <c r="R17" s="4"/>
      <c r="S17" s="4"/>
    </row>
    <row r="18" spans="1:19" ht="19.5" customHeight="1" thickBot="1">
      <c r="A18" s="18">
        <v>7</v>
      </c>
      <c r="B18" s="26" t="s">
        <v>20</v>
      </c>
      <c r="C18" s="22">
        <v>18</v>
      </c>
      <c r="D18" s="25">
        <v>18</v>
      </c>
      <c r="E18" s="15">
        <f t="shared" si="0"/>
        <v>5.4</v>
      </c>
      <c r="F18" s="17">
        <f t="shared" si="1"/>
        <v>5.4</v>
      </c>
      <c r="G18" s="15">
        <f t="shared" si="2"/>
        <v>4.5</v>
      </c>
      <c r="H18" s="17">
        <f t="shared" si="3"/>
        <v>4.5</v>
      </c>
      <c r="I18" s="15">
        <f t="shared" si="4"/>
        <v>3.24</v>
      </c>
      <c r="J18" s="17">
        <f t="shared" si="5"/>
        <v>3.24</v>
      </c>
      <c r="K18" s="15">
        <f t="shared" si="6"/>
        <v>1.8</v>
      </c>
      <c r="L18" s="17">
        <f t="shared" si="7"/>
        <v>1.8</v>
      </c>
      <c r="M18" s="4"/>
      <c r="N18" s="4"/>
      <c r="O18" s="4"/>
      <c r="P18" s="4"/>
      <c r="Q18" s="4"/>
      <c r="R18" s="4"/>
      <c r="S18" s="4"/>
    </row>
    <row r="19" spans="1:19" ht="19.5" customHeight="1" thickBot="1">
      <c r="A19" s="61" t="s">
        <v>21</v>
      </c>
      <c r="B19" s="62"/>
      <c r="C19" s="63">
        <v>1000</v>
      </c>
      <c r="D19" s="64"/>
      <c r="E19" s="65">
        <v>300</v>
      </c>
      <c r="F19" s="64"/>
      <c r="G19" s="65">
        <v>250</v>
      </c>
      <c r="H19" s="64"/>
      <c r="I19" s="65">
        <v>180</v>
      </c>
      <c r="J19" s="64"/>
      <c r="K19" s="65">
        <v>100</v>
      </c>
      <c r="L19" s="64"/>
      <c r="M19" s="4"/>
      <c r="N19" s="4"/>
      <c r="O19" s="4"/>
      <c r="P19" s="4"/>
      <c r="Q19" s="4"/>
      <c r="R19" s="4"/>
      <c r="S19" s="4"/>
    </row>
    <row r="20" spans="1:19" ht="44.25" customHeight="1">
      <c r="A20" s="66" t="s">
        <v>22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4"/>
      <c r="N20" s="4"/>
      <c r="O20" s="4"/>
      <c r="P20" s="4"/>
      <c r="Q20" s="4"/>
      <c r="R20" s="4"/>
      <c r="S20" s="4"/>
    </row>
    <row r="21" spans="1:19" ht="44.25" customHeight="1">
      <c r="A21" s="68" t="s">
        <v>23</v>
      </c>
      <c r="B21" s="68"/>
      <c r="C21" s="68"/>
      <c r="D21" s="68"/>
      <c r="E21" s="68"/>
      <c r="F21" s="68"/>
      <c r="G21" s="68"/>
      <c r="H21" s="27"/>
      <c r="I21" s="27"/>
      <c r="J21" s="27"/>
      <c r="K21" s="27"/>
      <c r="L21" s="27"/>
      <c r="M21" s="4"/>
      <c r="N21" s="4"/>
      <c r="O21" s="4"/>
      <c r="P21" s="4"/>
      <c r="Q21" s="4"/>
      <c r="R21" s="4"/>
      <c r="S21" s="4"/>
    </row>
    <row r="22" spans="1:19" ht="19.899999999999999" customHeight="1">
      <c r="A22" s="45" t="s">
        <v>24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4"/>
      <c r="N22" s="4"/>
      <c r="O22" s="4"/>
      <c r="P22" s="4"/>
      <c r="Q22" s="4"/>
      <c r="R22" s="4"/>
      <c r="S22" s="4"/>
    </row>
    <row r="23" spans="1:19" ht="78" customHeight="1">
      <c r="A23" s="59" t="s">
        <v>25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4"/>
      <c r="N23" s="4"/>
      <c r="O23" s="4"/>
      <c r="P23" s="4"/>
      <c r="Q23" s="4"/>
      <c r="R23" s="4"/>
      <c r="S23" s="4"/>
    </row>
    <row r="24" spans="1:19" ht="27.6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4"/>
      <c r="N24" s="4"/>
      <c r="O24" s="4"/>
      <c r="P24" s="4"/>
      <c r="Q24" s="4"/>
      <c r="R24" s="4"/>
      <c r="S24" s="4"/>
    </row>
    <row r="25" spans="1:19" ht="12" customHeight="1">
      <c r="A25" s="69" t="s">
        <v>26</v>
      </c>
      <c r="B25" s="69"/>
      <c r="C25" s="69"/>
      <c r="D25" s="69"/>
      <c r="E25" s="69"/>
      <c r="F25" s="69"/>
      <c r="G25" s="69"/>
      <c r="M25" s="4"/>
      <c r="N25" s="4"/>
      <c r="O25" s="4"/>
      <c r="P25" s="4"/>
      <c r="Q25" s="4"/>
      <c r="R25" s="4"/>
      <c r="S25" s="4"/>
    </row>
    <row r="26" spans="1:19" ht="56.45" customHeight="1">
      <c r="A26" s="59" t="s">
        <v>27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4"/>
      <c r="N26" s="4"/>
      <c r="O26" s="4"/>
      <c r="P26" s="4"/>
      <c r="Q26" s="4"/>
      <c r="R26" s="4"/>
      <c r="S26" s="4"/>
    </row>
    <row r="27" spans="1:19" ht="18.75" customHeight="1">
      <c r="A27" s="52" t="s">
        <v>28</v>
      </c>
      <c r="B27" s="38"/>
      <c r="C27" s="38"/>
      <c r="D27" s="38"/>
      <c r="E27" s="38"/>
      <c r="F27" s="38"/>
      <c r="G27" s="28"/>
      <c r="H27" s="28"/>
      <c r="I27" s="28"/>
      <c r="J27" s="28"/>
      <c r="K27" s="28"/>
      <c r="L27" s="28"/>
      <c r="M27" s="4"/>
      <c r="N27" s="4"/>
      <c r="O27" s="4"/>
      <c r="P27" s="4"/>
      <c r="Q27" s="4"/>
      <c r="R27" s="4"/>
      <c r="S27" s="4"/>
    </row>
    <row r="28" spans="1:19" ht="34.5" customHeight="1">
      <c r="A28" s="29" t="s">
        <v>29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"/>
      <c r="N28" s="4"/>
      <c r="O28" s="4"/>
      <c r="P28" s="4"/>
      <c r="Q28" s="4"/>
      <c r="R28" s="4"/>
      <c r="S28" s="4"/>
    </row>
    <row r="29" spans="1:19" ht="19.5" customHeight="1" thickBot="1">
      <c r="A29" s="45" t="s">
        <v>30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4"/>
      <c r="N29" s="4"/>
      <c r="O29" s="4"/>
      <c r="P29" s="4"/>
      <c r="Q29" s="4"/>
      <c r="R29" s="4"/>
      <c r="S29" s="4"/>
    </row>
    <row r="30" spans="1:19" ht="38.25" customHeight="1" thickBot="1">
      <c r="A30" s="53" t="s">
        <v>31</v>
      </c>
      <c r="B30" s="49"/>
      <c r="C30" s="54" t="s">
        <v>32</v>
      </c>
      <c r="D30" s="51"/>
      <c r="E30" s="55" t="s">
        <v>33</v>
      </c>
      <c r="F30" s="49"/>
      <c r="G30" s="56" t="s">
        <v>34</v>
      </c>
      <c r="H30" s="51"/>
      <c r="I30" s="57" t="s">
        <v>35</v>
      </c>
      <c r="J30" s="58"/>
      <c r="K30" s="4"/>
      <c r="L30" s="4"/>
      <c r="M30" s="4"/>
      <c r="N30" s="4"/>
      <c r="O30" s="4"/>
      <c r="P30" s="4"/>
      <c r="Q30" s="4"/>
    </row>
    <row r="31" spans="1:19" ht="16.5" customHeight="1" thickBot="1">
      <c r="A31" s="48">
        <v>100</v>
      </c>
      <c r="B31" s="49"/>
      <c r="C31" s="50">
        <v>4.92</v>
      </c>
      <c r="D31" s="51"/>
      <c r="E31" s="50">
        <v>3.67</v>
      </c>
      <c r="F31" s="51"/>
      <c r="G31" s="50">
        <v>13.88</v>
      </c>
      <c r="H31" s="49"/>
      <c r="I31" s="31">
        <v>107.14</v>
      </c>
      <c r="J31" s="32"/>
      <c r="K31" s="4"/>
      <c r="L31" s="4"/>
      <c r="M31" s="4"/>
      <c r="N31" s="4"/>
      <c r="O31" s="4"/>
      <c r="P31" s="4"/>
      <c r="Q31" s="4"/>
    </row>
    <row r="32" spans="1:19" ht="16.5" customHeight="1" thickBot="1">
      <c r="A32" s="48">
        <v>180</v>
      </c>
      <c r="B32" s="49"/>
      <c r="C32" s="50">
        <v>8.56</v>
      </c>
      <c r="D32" s="51"/>
      <c r="E32" s="50">
        <v>6.6</v>
      </c>
      <c r="F32" s="51"/>
      <c r="G32" s="50">
        <v>24.98</v>
      </c>
      <c r="H32" s="49"/>
      <c r="I32" s="33">
        <v>192.85</v>
      </c>
      <c r="J32" s="34"/>
      <c r="K32" s="4"/>
      <c r="L32" s="4"/>
      <c r="M32" s="4"/>
      <c r="N32" s="4"/>
      <c r="O32" s="4"/>
      <c r="P32" s="4"/>
      <c r="Q32" s="4"/>
    </row>
    <row r="33" spans="1:19" ht="16.5" customHeight="1" thickBot="1">
      <c r="A33" s="48">
        <v>250</v>
      </c>
      <c r="B33" s="49"/>
      <c r="C33" s="50">
        <v>12.3</v>
      </c>
      <c r="D33" s="49"/>
      <c r="E33" s="50">
        <v>9.1999999999999993</v>
      </c>
      <c r="F33" s="49"/>
      <c r="G33" s="50">
        <v>34.700000000000003</v>
      </c>
      <c r="H33" s="49"/>
      <c r="I33" s="33">
        <v>267.89999999999998</v>
      </c>
      <c r="J33" s="34"/>
      <c r="K33" s="4"/>
      <c r="L33" s="4"/>
      <c r="M33" s="4"/>
      <c r="N33" s="4"/>
      <c r="O33" s="4"/>
      <c r="P33" s="4"/>
      <c r="Q33" s="4"/>
    </row>
    <row r="34" spans="1:19" ht="15.75" customHeight="1" thickBot="1">
      <c r="A34" s="48">
        <v>300</v>
      </c>
      <c r="B34" s="49"/>
      <c r="C34" s="50">
        <v>14.7</v>
      </c>
      <c r="D34" s="49"/>
      <c r="E34" s="50">
        <v>11</v>
      </c>
      <c r="F34" s="49"/>
      <c r="G34" s="50">
        <v>41.6</v>
      </c>
      <c r="H34" s="49"/>
      <c r="I34" s="35">
        <v>321.39999999999998</v>
      </c>
      <c r="J34" s="36"/>
      <c r="K34" s="4"/>
      <c r="L34" s="4"/>
      <c r="M34" s="4"/>
      <c r="N34" s="4"/>
      <c r="O34" s="4"/>
      <c r="P34" s="4"/>
      <c r="Q34" s="4"/>
    </row>
    <row r="35" spans="1:19" ht="15.75" customHeight="1">
      <c r="A35" s="45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4"/>
      <c r="N35" s="4"/>
      <c r="O35" s="4"/>
      <c r="P35" s="4"/>
      <c r="Q35" s="4"/>
      <c r="R35" s="4"/>
      <c r="S35" s="4"/>
    </row>
    <row r="36" spans="1:19" ht="15.75" customHeight="1">
      <c r="A36" s="41"/>
      <c r="B36" s="38"/>
      <c r="C36" s="42"/>
      <c r="D36" s="38"/>
      <c r="E36" s="41"/>
      <c r="F36" s="38"/>
      <c r="G36" s="43"/>
      <c r="H36" s="38"/>
      <c r="K36" s="41"/>
      <c r="L36" s="38"/>
      <c r="M36" s="4"/>
      <c r="N36" s="4"/>
      <c r="O36" s="4"/>
      <c r="P36" s="4"/>
      <c r="Q36" s="4"/>
      <c r="R36" s="4"/>
      <c r="S36" s="4"/>
    </row>
    <row r="37" spans="1:19" ht="15.75" customHeight="1">
      <c r="A37" s="44"/>
      <c r="B37" s="38"/>
      <c r="C37" s="39"/>
      <c r="D37" s="38"/>
      <c r="E37" s="39"/>
      <c r="F37" s="38"/>
      <c r="G37" s="39"/>
      <c r="H37" s="38"/>
      <c r="K37" s="39"/>
      <c r="L37" s="38"/>
      <c r="M37" s="4"/>
      <c r="N37" s="4"/>
      <c r="O37" s="4"/>
      <c r="P37" s="4"/>
      <c r="Q37" s="4"/>
      <c r="R37" s="4"/>
      <c r="S37" s="4"/>
    </row>
    <row r="38" spans="1:19" ht="15.75" customHeight="1">
      <c r="A38" s="46" t="s">
        <v>36</v>
      </c>
      <c r="B38" s="47"/>
      <c r="C38" s="39"/>
      <c r="D38" s="38"/>
      <c r="E38" s="39"/>
      <c r="F38" s="38"/>
      <c r="G38" s="39"/>
      <c r="H38" s="38"/>
      <c r="K38" s="39"/>
      <c r="L38" s="38"/>
      <c r="M38" s="4"/>
      <c r="N38" s="4"/>
      <c r="O38" s="4"/>
      <c r="P38" s="4"/>
      <c r="Q38" s="4"/>
      <c r="R38" s="4"/>
      <c r="S38" s="4"/>
    </row>
    <row r="39" spans="1:19" ht="15.75" customHeight="1">
      <c r="A39" s="37"/>
      <c r="B39" s="38"/>
      <c r="C39" s="40"/>
      <c r="D39" s="38"/>
      <c r="E39" s="40"/>
      <c r="F39" s="38"/>
      <c r="G39" s="40"/>
      <c r="H39" s="38"/>
      <c r="K39" s="40"/>
      <c r="L39" s="38"/>
      <c r="M39" s="4"/>
      <c r="N39" s="4"/>
      <c r="O39" s="4"/>
      <c r="P39" s="4"/>
      <c r="Q39" s="4"/>
      <c r="R39" s="4"/>
      <c r="S39" s="4"/>
    </row>
    <row r="40" spans="1:19" ht="15.75" customHeight="1">
      <c r="A40" s="37"/>
      <c r="B40" s="38"/>
      <c r="C40" s="39"/>
      <c r="D40" s="38"/>
      <c r="E40" s="39"/>
      <c r="F40" s="38"/>
      <c r="G40" s="39"/>
      <c r="H40" s="38"/>
      <c r="K40" s="39"/>
      <c r="L40" s="38"/>
      <c r="M40" s="4"/>
      <c r="N40" s="4"/>
      <c r="O40" s="4"/>
      <c r="P40" s="4"/>
      <c r="Q40" s="4"/>
      <c r="R40" s="4"/>
      <c r="S40" s="4"/>
    </row>
    <row r="41" spans="1:19" ht="15.75" customHeight="1">
      <c r="A41" s="37"/>
      <c r="B41" s="38"/>
      <c r="C41" s="39"/>
      <c r="D41" s="38"/>
      <c r="E41" s="39"/>
      <c r="F41" s="38"/>
      <c r="G41" s="39"/>
      <c r="H41" s="38"/>
      <c r="K41" s="39"/>
      <c r="L41" s="38"/>
      <c r="M41" s="4"/>
      <c r="N41" s="4"/>
      <c r="O41" s="4"/>
      <c r="P41" s="4"/>
      <c r="Q41" s="4"/>
      <c r="R41" s="4"/>
      <c r="S41" s="4"/>
    </row>
    <row r="42" spans="1:19" ht="15.75" customHeight="1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4"/>
      <c r="N42" s="4"/>
      <c r="O42" s="4"/>
      <c r="P42" s="4"/>
      <c r="Q42" s="4"/>
      <c r="R42" s="4"/>
      <c r="S42" s="4"/>
    </row>
    <row r="43" spans="1:19" ht="15.75" customHeight="1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4"/>
      <c r="N43" s="4"/>
      <c r="O43" s="4"/>
      <c r="P43" s="4"/>
      <c r="Q43" s="4"/>
      <c r="R43" s="4"/>
      <c r="S43" s="4"/>
    </row>
    <row r="44" spans="1:19" ht="15.75" customHeight="1">
      <c r="A44" s="4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4"/>
      <c r="N44" s="4"/>
      <c r="O44" s="4"/>
      <c r="P44" s="4"/>
      <c r="Q44" s="4"/>
      <c r="R44" s="4"/>
      <c r="S44" s="4"/>
    </row>
    <row r="45" spans="1:19" ht="12.75" customHeight="1">
      <c r="A45" s="41"/>
      <c r="B45" s="38"/>
      <c r="C45" s="42"/>
      <c r="D45" s="38"/>
      <c r="E45" s="41"/>
      <c r="F45" s="38"/>
      <c r="G45" s="43"/>
      <c r="H45" s="38"/>
      <c r="K45" s="41"/>
      <c r="L45" s="38"/>
      <c r="M45" s="4"/>
      <c r="N45" s="4"/>
      <c r="O45" s="4"/>
      <c r="P45" s="4"/>
      <c r="Q45" s="4"/>
      <c r="R45" s="4"/>
      <c r="S45" s="4"/>
    </row>
    <row r="46" spans="1:19" ht="12.75" customHeight="1">
      <c r="A46" s="44"/>
      <c r="B46" s="38"/>
      <c r="C46" s="39"/>
      <c r="D46" s="38"/>
      <c r="E46" s="39"/>
      <c r="F46" s="38"/>
      <c r="G46" s="39"/>
      <c r="H46" s="38"/>
      <c r="K46" s="39"/>
      <c r="L46" s="38"/>
      <c r="M46" s="4"/>
      <c r="N46" s="4"/>
      <c r="O46" s="4"/>
      <c r="P46" s="4"/>
      <c r="Q46" s="4"/>
      <c r="R46" s="4"/>
      <c r="S46" s="4"/>
    </row>
    <row r="47" spans="1:19" ht="12.75" customHeight="1">
      <c r="A47" s="37"/>
      <c r="B47" s="38"/>
      <c r="C47" s="39"/>
      <c r="D47" s="38"/>
      <c r="E47" s="39"/>
      <c r="F47" s="38"/>
      <c r="G47" s="39"/>
      <c r="H47" s="38"/>
      <c r="K47" s="39"/>
      <c r="L47" s="38"/>
      <c r="M47" s="4"/>
      <c r="N47" s="4"/>
      <c r="O47" s="4"/>
      <c r="P47" s="4"/>
      <c r="Q47" s="4"/>
      <c r="R47" s="4"/>
      <c r="S47" s="4"/>
    </row>
    <row r="48" spans="1:19" ht="12.75" customHeight="1">
      <c r="A48" s="37"/>
      <c r="B48" s="38"/>
      <c r="C48" s="40"/>
      <c r="D48" s="38"/>
      <c r="E48" s="40"/>
      <c r="F48" s="38"/>
      <c r="G48" s="40"/>
      <c r="H48" s="38"/>
      <c r="K48" s="40"/>
      <c r="L48" s="38"/>
      <c r="M48" s="4"/>
      <c r="N48" s="4"/>
      <c r="O48" s="4"/>
      <c r="P48" s="4"/>
      <c r="Q48" s="4"/>
      <c r="R48" s="4"/>
      <c r="S48" s="4"/>
    </row>
    <row r="49" spans="1:19" ht="12.75" customHeight="1">
      <c r="A49" s="37"/>
      <c r="B49" s="38"/>
      <c r="C49" s="39"/>
      <c r="D49" s="38"/>
      <c r="E49" s="39"/>
      <c r="F49" s="38"/>
      <c r="G49" s="39"/>
      <c r="H49" s="38"/>
      <c r="K49" s="39"/>
      <c r="L49" s="38"/>
      <c r="M49" s="4"/>
      <c r="N49" s="4"/>
      <c r="O49" s="4"/>
      <c r="P49" s="4"/>
      <c r="Q49" s="4"/>
      <c r="R49" s="4"/>
      <c r="S49" s="4"/>
    </row>
    <row r="50" spans="1:19" ht="12.75" customHeight="1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4"/>
      <c r="N50" s="4"/>
      <c r="O50" s="4"/>
      <c r="P50" s="4"/>
      <c r="Q50" s="4"/>
      <c r="R50" s="4"/>
      <c r="S50" s="4"/>
    </row>
    <row r="51" spans="1:19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ht="15.75" customHeight="1">
      <c r="A52" s="4"/>
      <c r="B52" s="1"/>
      <c r="C52" s="1"/>
      <c r="D52" s="1"/>
      <c r="E52" s="1"/>
      <c r="F52" s="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ht="15.75" customHeight="1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4"/>
      <c r="N53" s="4"/>
      <c r="O53" s="4"/>
      <c r="P53" s="4"/>
      <c r="Q53" s="4"/>
      <c r="R53" s="4"/>
      <c r="S53" s="4"/>
    </row>
    <row r="54" spans="1:19" ht="15.75" customHeight="1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4"/>
      <c r="N54" s="4"/>
      <c r="O54" s="4"/>
      <c r="P54" s="4"/>
      <c r="Q54" s="4"/>
      <c r="R54" s="4"/>
      <c r="S54" s="4"/>
    </row>
    <row r="55" spans="1:19" ht="15.75" customHeight="1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4"/>
      <c r="N55" s="4"/>
      <c r="O55" s="4"/>
      <c r="P55" s="4"/>
      <c r="Q55" s="4"/>
      <c r="R55" s="4"/>
      <c r="S55" s="4"/>
    </row>
    <row r="56" spans="1:19" ht="15.75" customHeight="1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"/>
      <c r="N56" s="4"/>
      <c r="O56" s="4"/>
      <c r="P56" s="4"/>
      <c r="Q56" s="4"/>
      <c r="R56" s="4"/>
      <c r="S56" s="4"/>
    </row>
    <row r="57" spans="1:19" ht="15.75" customHeight="1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4"/>
      <c r="N57" s="4"/>
      <c r="O57" s="4"/>
      <c r="P57" s="4"/>
      <c r="Q57" s="4"/>
      <c r="R57" s="4"/>
      <c r="S57" s="4"/>
    </row>
    <row r="58" spans="1:19" ht="15.75" customHeight="1">
      <c r="A58" s="4"/>
      <c r="B58" s="4"/>
      <c r="C58" s="4"/>
      <c r="D58" s="4"/>
      <c r="E58" s="4"/>
      <c r="F58" s="4"/>
      <c r="G58" s="1"/>
      <c r="H58" s="1"/>
      <c r="I58" s="1"/>
      <c r="J58" s="1"/>
      <c r="K58" s="1"/>
      <c r="L58" s="1"/>
      <c r="M58" s="4"/>
      <c r="N58" s="4"/>
      <c r="O58" s="4"/>
      <c r="P58" s="4"/>
      <c r="Q58" s="4"/>
      <c r="R58" s="4"/>
      <c r="S58" s="4"/>
    </row>
    <row r="59" spans="1:1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19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19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1:19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1:19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1:19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1:19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1:19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1:19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1:1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1:19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1:19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1:19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1:19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1:1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1:19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1:19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1:19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1:19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1:19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1:19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1:19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1:1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1:19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1:19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1:19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1:19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1:19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1:19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1:19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1:19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1:19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1:19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1:19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1:19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1:19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1:19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1:19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1:19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1:19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1:19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1:1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1:19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19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1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1:19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1:19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1:1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1:19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19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19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1:1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1:19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1:19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1:19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1:19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1:19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1:19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1:19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1:19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1:19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1:19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1:19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1:19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1:19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1:19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1:19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1:19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1:1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1:19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1:19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1:19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1:19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1:19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1:19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spans="1:19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1:19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spans="1:19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1:1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1:19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1:19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1:19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1:19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spans="1:19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spans="1:19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1:19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1:19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spans="1:19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spans="1:1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1:19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1:19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spans="1:19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1:19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1:19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1:19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1:19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spans="1:19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1:19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spans="1: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1:19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1:19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1:19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spans="1:19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1:19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1:19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19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spans="1:19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1:19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1:1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1:19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spans="1:19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19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1:19" ht="15.75" customHeight="1"/>
    <row r="236" spans="1:19" ht="15.75" customHeight="1"/>
    <row r="237" spans="1:19" ht="15.75" customHeight="1"/>
    <row r="238" spans="1:19" ht="15.75" customHeight="1"/>
    <row r="239" spans="1:19" ht="15.75" customHeight="1"/>
    <row r="240" spans="1:1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98">
    <mergeCell ref="G4:K4"/>
    <mergeCell ref="A6:L6"/>
    <mergeCell ref="A7:L7"/>
    <mergeCell ref="A8:A9"/>
    <mergeCell ref="C8:D8"/>
    <mergeCell ref="E8:L8"/>
    <mergeCell ref="A26:L26"/>
    <mergeCell ref="A19:B19"/>
    <mergeCell ref="C19:D19"/>
    <mergeCell ref="E19:F19"/>
    <mergeCell ref="G19:H19"/>
    <mergeCell ref="I19:J19"/>
    <mergeCell ref="K19:L19"/>
    <mergeCell ref="A20:L20"/>
    <mergeCell ref="A21:G21"/>
    <mergeCell ref="A22:L22"/>
    <mergeCell ref="A23:L24"/>
    <mergeCell ref="A25:G25"/>
    <mergeCell ref="A27:F27"/>
    <mergeCell ref="A29:L29"/>
    <mergeCell ref="A30:B30"/>
    <mergeCell ref="C30:D30"/>
    <mergeCell ref="E30:F30"/>
    <mergeCell ref="G30:H30"/>
    <mergeCell ref="I30:J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L35"/>
    <mergeCell ref="A36:B36"/>
    <mergeCell ref="C36:D36"/>
    <mergeCell ref="E36:F36"/>
    <mergeCell ref="G36:H36"/>
    <mergeCell ref="K36:L36"/>
    <mergeCell ref="A38:B38"/>
    <mergeCell ref="C38:D38"/>
    <mergeCell ref="E38:F38"/>
    <mergeCell ref="G38:H38"/>
    <mergeCell ref="K38:L38"/>
    <mergeCell ref="A37:B37"/>
    <mergeCell ref="C37:D37"/>
    <mergeCell ref="E37:F37"/>
    <mergeCell ref="G37:H37"/>
    <mergeCell ref="K37:L37"/>
    <mergeCell ref="A44:L44"/>
    <mergeCell ref="A39:B39"/>
    <mergeCell ref="C39:D39"/>
    <mergeCell ref="E39:F39"/>
    <mergeCell ref="G39:H39"/>
    <mergeCell ref="K39:L39"/>
    <mergeCell ref="A40:B40"/>
    <mergeCell ref="C40:D40"/>
    <mergeCell ref="E40:F40"/>
    <mergeCell ref="G40:H40"/>
    <mergeCell ref="K40:L40"/>
    <mergeCell ref="A41:B41"/>
    <mergeCell ref="C41:D41"/>
    <mergeCell ref="E41:F41"/>
    <mergeCell ref="G41:H41"/>
    <mergeCell ref="K41:L41"/>
    <mergeCell ref="A46:B46"/>
    <mergeCell ref="C46:D46"/>
    <mergeCell ref="E46:F46"/>
    <mergeCell ref="G46:H46"/>
    <mergeCell ref="K46:L46"/>
    <mergeCell ref="A45:B45"/>
    <mergeCell ref="C45:D45"/>
    <mergeCell ref="E45:F45"/>
    <mergeCell ref="G45:H45"/>
    <mergeCell ref="K45:L45"/>
    <mergeCell ref="A48:B48"/>
    <mergeCell ref="C48:D48"/>
    <mergeCell ref="E48:F48"/>
    <mergeCell ref="G48:H48"/>
    <mergeCell ref="K48:L48"/>
    <mergeCell ref="A47:B47"/>
    <mergeCell ref="C47:D47"/>
    <mergeCell ref="E47:F47"/>
    <mergeCell ref="G47:H47"/>
    <mergeCell ref="K47:L47"/>
    <mergeCell ref="A49:B49"/>
    <mergeCell ref="C49:D49"/>
    <mergeCell ref="E49:F49"/>
    <mergeCell ref="G49:H49"/>
    <mergeCell ref="K49:L49"/>
  </mergeCells>
  <pageMargins left="0.7" right="0.7" top="0.75" bottom="0.75" header="0" footer="0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лобіо з квасолею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Жемчужина</cp:lastModifiedBy>
  <dcterms:created xsi:type="dcterms:W3CDTF">2022-02-14T07:52:47Z</dcterms:created>
  <dcterms:modified xsi:type="dcterms:W3CDTF">2026-07-23T11:20:55Z</dcterms:modified>
</cp:coreProperties>
</file>