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/>
  </bookViews>
  <sheets>
    <sheet name="Суп карт. з галушками" sheetId="1" r:id="rId1"/>
  </sheets>
  <calcPr calcId="18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5" i="1"/>
  <c r="G35"/>
  <c r="I35"/>
  <c r="C35"/>
  <c r="E33"/>
  <c r="G33"/>
  <c r="I33"/>
  <c r="C33"/>
  <c r="E32"/>
  <c r="G32"/>
  <c r="I32"/>
  <c r="C32"/>
  <c r="J20" l="1"/>
  <c r="I20"/>
  <c r="H20"/>
  <c r="G20"/>
  <c r="F20"/>
  <c r="E20"/>
  <c r="J19"/>
  <c r="H19"/>
  <c r="F19"/>
  <c r="J18"/>
  <c r="I18"/>
  <c r="H18"/>
  <c r="G18"/>
  <c r="F18"/>
  <c r="E18"/>
  <c r="J17"/>
  <c r="I17"/>
  <c r="H17"/>
  <c r="G17"/>
  <c r="F17"/>
  <c r="E17"/>
</calcChain>
</file>

<file path=xl/sharedStrings.xml><?xml version="1.0" encoding="utf-8"?>
<sst xmlns="http://schemas.openxmlformats.org/spreadsheetml/2006/main" count="46" uniqueCount="39">
  <si>
    <t xml:space="preserve">Збірник рецептур страв для харчування школярів стор.81, рец. №87 </t>
  </si>
  <si>
    <t>ЗАТВЕРДЖУЮ</t>
  </si>
  <si>
    <t>Київ "Техніка" 1990 рік</t>
  </si>
  <si>
    <t xml:space="preserve">Директор </t>
  </si>
  <si>
    <t>______________________</t>
  </si>
  <si>
    <t>_____________ 20</t>
  </si>
  <si>
    <t xml:space="preserve">             Технологічна карта </t>
  </si>
  <si>
    <t>Суп картопляний з галушками</t>
  </si>
  <si>
    <t>№ з/п</t>
  </si>
  <si>
    <t>Найменування сировини</t>
  </si>
  <si>
    <t>Маса, г</t>
  </si>
  <si>
    <t xml:space="preserve">Норма вмісту на 1 порцію, г </t>
  </si>
  <si>
    <t>брутто, г</t>
  </si>
  <si>
    <t>нетто, г</t>
  </si>
  <si>
    <t>Картопля                до 01.09 (молода)</t>
  </si>
  <si>
    <t>з 01.09 до 31.10</t>
  </si>
  <si>
    <t>з 01.11 до 31.12</t>
  </si>
  <si>
    <t>з 01.01 до 28.02</t>
  </si>
  <si>
    <t>з 01.03 до 30.08</t>
  </si>
  <si>
    <t>Морква столова свіжа до 01.01.</t>
  </si>
  <si>
    <t>Морква столова свіжа з 01.01.</t>
  </si>
  <si>
    <t>Цибуля ріпчаста</t>
  </si>
  <si>
    <t>Олія соняшникова</t>
  </si>
  <si>
    <t>Галушки готові № 88 (Г)</t>
  </si>
  <si>
    <t>Вода</t>
  </si>
  <si>
    <t>Сіль йодована</t>
  </si>
  <si>
    <t>Лист лавровий</t>
  </si>
  <si>
    <t>Вихід готової страви, г</t>
  </si>
  <si>
    <t>Харчові продукти і продовольча сировина з яких виготовляються готові страви, відповідають вимогам чинних нормативно-правових актів України щодо показників якості та безпеки харчових продуктів, упаковки, маркування, транспортування, приймання і зберігання.</t>
  </si>
  <si>
    <r>
      <t xml:space="preserve">Відхилення до маси порції+-3%
Наявність харчових алергенів у страві: Г-глютен, Я-яйця.
                                                                         </t>
    </r>
    <r>
      <rPr>
        <b/>
        <sz val="12"/>
        <color rgb="FF000000"/>
        <rFont val="Times New Roman"/>
        <family val="1"/>
        <charset val="204"/>
      </rPr>
      <t>Технологія приготування страви</t>
    </r>
    <r>
      <rPr>
        <sz val="12"/>
        <color rgb="FF000000"/>
        <rFont val="Times New Roman"/>
        <family val="1"/>
        <charset val="204"/>
      </rPr>
      <t xml:space="preserve">
У киплячу воду закладають карттоплю, доводять до кипіння, додають пасеровані цибулю, моркву та варять до готовності. За 10-15 хвилин до закінчення варіння закладають галушки, додають сіль, лавровий лист. Галушки можна готувати окремо та класти в суп при відпустці.   
</t>
    </r>
    <r>
      <rPr>
        <b/>
        <sz val="12"/>
        <color rgb="FF000000"/>
        <rFont val="Times New Roman"/>
        <family val="1"/>
        <charset val="204"/>
      </rPr>
      <t xml:space="preserve">
                                                                             Характеристика готової страви</t>
    </r>
    <r>
      <rPr>
        <sz val="12"/>
        <color rgb="FF000000"/>
        <rFont val="Times New Roman"/>
        <family val="1"/>
        <charset val="204"/>
      </rPr>
      <t xml:space="preserve">
Зовнішній вигляд: на поверхні блістки жиру, , овочі зберегли форму нарізки або частково розварені. Галушки рівномірні за величиною, злегка втративші форму.
Колір: рідкої частини-світло-жовтий; галушок-кремовий.
Смак і запах: характерні для картопляного супа, з ароматом пасерованих овочів.
Консистенція: овочів-м'яка, галушки-пишні, ніжні.
</t>
    </r>
  </si>
  <si>
    <t>Термін придатності до споживання та умови зберігання</t>
  </si>
  <si>
    <t>Термін реалізації - 2 години. Температура подачі +65-75 °C</t>
  </si>
  <si>
    <t xml:space="preserve">ХАРЧОВА (ПОЖИВНА) ТА ЕНЕРГЕТИЧНА ЦІННІСТЬ (КАЛОРІЙНІСТЬ) 1 ПОРЦІЇ: </t>
  </si>
  <si>
    <t>Маса порції, г</t>
  </si>
  <si>
    <t>Білки, г</t>
  </si>
  <si>
    <t>Жири, г</t>
  </si>
  <si>
    <t>Вуглеводи, г</t>
  </si>
  <si>
    <t>Енергетична цінність, ккал</t>
  </si>
  <si>
    <t xml:space="preserve">Карту склав: фахівець-технолог     </t>
  </si>
</sst>
</file>

<file path=xl/styles.xml><?xml version="1.0" encoding="utf-8"?>
<styleSheet xmlns="http://schemas.openxmlformats.org/spreadsheetml/2006/main">
  <numFmts count="1">
    <numFmt numFmtId="164" formatCode="0.0"/>
  </numFmts>
  <fonts count="13">
    <font>
      <sz val="10"/>
      <color rgb="FF000000"/>
      <name val="Arial"/>
    </font>
    <font>
      <sz val="12"/>
      <color theme="1"/>
      <name val="Times New Roman"/>
    </font>
    <font>
      <b/>
      <sz val="12"/>
      <color theme="1"/>
      <name val="Times New Roman"/>
      <family val="1"/>
      <charset val="204"/>
    </font>
    <font>
      <b/>
      <sz val="12"/>
      <color theme="1"/>
      <name val="Times New Roman"/>
    </font>
    <font>
      <sz val="12"/>
      <color theme="1"/>
      <name val="Arial"/>
    </font>
    <font>
      <sz val="10"/>
      <name val="Arial"/>
    </font>
    <font>
      <b/>
      <sz val="10"/>
      <color theme="1"/>
      <name val="Times New Roman"/>
    </font>
    <font>
      <sz val="12"/>
      <color theme="1"/>
      <name val="Times New Roman"/>
      <family val="1"/>
      <charset val="204"/>
    </font>
    <font>
      <sz val="12"/>
      <color rgb="FF000000"/>
      <name val="Times New Roman"/>
    </font>
    <font>
      <b/>
      <sz val="12"/>
      <color rgb="FF980000"/>
      <name val="Times New Roman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i/>
      <sz val="12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4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9" fontId="7" fillId="0" borderId="11" xfId="0" applyNumberFormat="1" applyFont="1" applyBorder="1" applyAlignment="1">
      <alignment horizontal="left" vertical="center" wrapText="1"/>
    </xf>
    <xf numFmtId="164" fontId="1" fillId="0" borderId="12" xfId="0" applyNumberFormat="1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/>
    </xf>
    <xf numFmtId="164" fontId="1" fillId="0" borderId="14" xfId="0" applyNumberFormat="1" applyFont="1" applyBorder="1" applyAlignment="1">
      <alignment horizontal="center"/>
    </xf>
    <xf numFmtId="164" fontId="8" fillId="0" borderId="13" xfId="0" applyNumberFormat="1" applyFont="1" applyBorder="1" applyAlignment="1">
      <alignment horizontal="center"/>
    </xf>
    <xf numFmtId="164" fontId="8" fillId="0" borderId="14" xfId="0" applyNumberFormat="1" applyFont="1" applyBorder="1" applyAlignment="1">
      <alignment horizontal="center"/>
    </xf>
    <xf numFmtId="9" fontId="1" fillId="0" borderId="11" xfId="0" applyNumberFormat="1" applyFont="1" applyBorder="1" applyAlignment="1">
      <alignment horizontal="center"/>
    </xf>
    <xf numFmtId="164" fontId="1" fillId="0" borderId="12" xfId="0" applyNumberFormat="1" applyFont="1" applyBorder="1" applyAlignment="1">
      <alignment horizontal="center"/>
    </xf>
    <xf numFmtId="164" fontId="1" fillId="0" borderId="11" xfId="0" applyNumberFormat="1" applyFont="1" applyBorder="1" applyAlignment="1">
      <alignment horizontal="center"/>
    </xf>
    <xf numFmtId="164" fontId="1" fillId="0" borderId="15" xfId="0" applyNumberFormat="1" applyFont="1" applyBorder="1" applyAlignment="1">
      <alignment horizontal="center"/>
    </xf>
    <xf numFmtId="164" fontId="1" fillId="0" borderId="16" xfId="0" applyNumberFormat="1" applyFont="1" applyBorder="1" applyAlignment="1">
      <alignment horizontal="center"/>
    </xf>
    <xf numFmtId="164" fontId="8" fillId="0" borderId="15" xfId="0" applyNumberFormat="1" applyFont="1" applyBorder="1" applyAlignment="1">
      <alignment horizontal="center"/>
    </xf>
    <xf numFmtId="164" fontId="8" fillId="0" borderId="16" xfId="0" applyNumberFormat="1" applyFont="1" applyBorder="1" applyAlignment="1">
      <alignment horizontal="center"/>
    </xf>
    <xf numFmtId="9" fontId="7" fillId="0" borderId="11" xfId="0" applyNumberFormat="1" applyFont="1" applyBorder="1" applyAlignment="1">
      <alignment horizontal="center"/>
    </xf>
    <xf numFmtId="2" fontId="1" fillId="0" borderId="12" xfId="0" applyNumberFormat="1" applyFont="1" applyBorder="1" applyAlignment="1">
      <alignment horizontal="center"/>
    </xf>
    <xf numFmtId="2" fontId="1" fillId="0" borderId="11" xfId="0" applyNumberFormat="1" applyFont="1" applyBorder="1" applyAlignment="1">
      <alignment horizontal="center"/>
    </xf>
    <xf numFmtId="0" fontId="7" fillId="0" borderId="11" xfId="0" applyFont="1" applyBorder="1"/>
    <xf numFmtId="9" fontId="7" fillId="0" borderId="11" xfId="0" applyNumberFormat="1" applyFont="1" applyBorder="1"/>
    <xf numFmtId="9" fontId="7" fillId="0" borderId="11" xfId="0" applyNumberFormat="1" applyFont="1" applyBorder="1" applyAlignment="1">
      <alignment horizontal="left"/>
    </xf>
    <xf numFmtId="9" fontId="1" fillId="0" borderId="11" xfId="0" applyNumberFormat="1" applyFont="1" applyBorder="1" applyAlignment="1">
      <alignment horizontal="left"/>
    </xf>
    <xf numFmtId="164" fontId="1" fillId="0" borderId="17" xfId="0" applyNumberFormat="1" applyFont="1" applyBorder="1" applyAlignment="1">
      <alignment horizontal="center"/>
    </xf>
    <xf numFmtId="164" fontId="1" fillId="0" borderId="18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164" fontId="1" fillId="0" borderId="20" xfId="0" applyNumberFormat="1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164" fontId="1" fillId="0" borderId="23" xfId="0" applyNumberFormat="1" applyFont="1" applyBorder="1" applyAlignment="1">
      <alignment horizontal="center"/>
    </xf>
    <xf numFmtId="164" fontId="8" fillId="0" borderId="22" xfId="0" applyNumberFormat="1" applyFont="1" applyBorder="1" applyAlignment="1">
      <alignment horizontal="center"/>
    </xf>
    <xf numFmtId="164" fontId="8" fillId="0" borderId="23" xfId="0" applyNumberFormat="1" applyFont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8" fillId="0" borderId="0" xfId="0" applyFont="1"/>
    <xf numFmtId="0" fontId="3" fillId="0" borderId="0" xfId="0" applyFont="1" applyAlignment="1">
      <alignment horizontal="center"/>
    </xf>
    <xf numFmtId="0" fontId="9" fillId="0" borderId="0" xfId="0" applyFont="1" applyAlignment="1">
      <alignment horizontal="left" wrapText="1"/>
    </xf>
    <xf numFmtId="0" fontId="5" fillId="0" borderId="0" xfId="0" applyFont="1"/>
    <xf numFmtId="0" fontId="5" fillId="0" borderId="28" xfId="0" applyFont="1" applyBorder="1"/>
    <xf numFmtId="0" fontId="3" fillId="0" borderId="0" xfId="0" applyFont="1" applyAlignment="1">
      <alignment vertical="center"/>
    </xf>
    <xf numFmtId="0" fontId="0" fillId="0" borderId="0" xfId="0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0" fontId="3" fillId="0" borderId="1" xfId="0" applyFont="1" applyBorder="1" applyAlignment="1">
      <alignment vertical="top" wrapText="1"/>
    </xf>
    <xf numFmtId="0" fontId="5" fillId="0" borderId="6" xfId="0" applyFont="1" applyBorder="1"/>
    <xf numFmtId="0" fontId="3" fillId="0" borderId="2" xfId="0" applyFont="1" applyBorder="1" applyAlignment="1">
      <alignment horizontal="center" vertical="center"/>
    </xf>
    <xf numFmtId="0" fontId="5" fillId="0" borderId="3" xfId="0" applyFont="1" applyBorder="1"/>
    <xf numFmtId="0" fontId="3" fillId="0" borderId="4" xfId="0" applyFont="1" applyBorder="1" applyAlignment="1">
      <alignment horizontal="center" vertical="center" wrapText="1"/>
    </xf>
    <xf numFmtId="0" fontId="5" fillId="0" borderId="4" xfId="0" applyFont="1" applyBorder="1"/>
    <xf numFmtId="0" fontId="5" fillId="0" borderId="5" xfId="0" applyFont="1" applyBorder="1"/>
    <xf numFmtId="0" fontId="3" fillId="0" borderId="24" xfId="0" applyFont="1" applyBorder="1" applyAlignment="1">
      <alignment horizontal="left" vertical="center"/>
    </xf>
    <xf numFmtId="0" fontId="3" fillId="0" borderId="25" xfId="0" applyFont="1" applyBorder="1" applyAlignment="1">
      <alignment horizontal="center" vertical="center"/>
    </xf>
    <xf numFmtId="0" fontId="5" fillId="0" borderId="26" xfId="0" applyFont="1" applyBorder="1"/>
    <xf numFmtId="0" fontId="3" fillId="0" borderId="27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3" fillId="0" borderId="29" xfId="0" applyFont="1" applyBorder="1" applyAlignment="1">
      <alignment horizontal="center" vertical="center" wrapText="1"/>
    </xf>
    <xf numFmtId="0" fontId="5" fillId="0" borderId="30" xfId="0" applyFont="1" applyBorder="1"/>
    <xf numFmtId="0" fontId="3" fillId="0" borderId="29" xfId="0" applyFont="1" applyBorder="1" applyAlignment="1">
      <alignment horizontal="center" vertical="center"/>
    </xf>
    <xf numFmtId="0" fontId="5" fillId="0" borderId="31" xfId="0" applyFont="1" applyBorder="1"/>
    <xf numFmtId="0" fontId="3" fillId="0" borderId="30" xfId="0" applyFont="1" applyBorder="1" applyAlignment="1">
      <alignment horizontal="center" vertical="center" wrapText="1"/>
    </xf>
    <xf numFmtId="0" fontId="3" fillId="0" borderId="29" xfId="0" applyFont="1" applyBorder="1" applyAlignment="1">
      <alignment vertical="center"/>
    </xf>
    <xf numFmtId="0" fontId="1" fillId="0" borderId="29" xfId="0" applyFont="1" applyBorder="1" applyAlignment="1">
      <alignment horizontal="center"/>
    </xf>
    <xf numFmtId="2" fontId="1" fillId="0" borderId="29" xfId="0" applyNumberFormat="1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FF00"/>
  </sheetPr>
  <dimension ref="A1:Q996"/>
  <sheetViews>
    <sheetView tabSelected="1" topLeftCell="A28" workbookViewId="0">
      <selection activeCell="L46" sqref="L46"/>
    </sheetView>
  </sheetViews>
  <sheetFormatPr defaultColWidth="14.42578125" defaultRowHeight="15" customHeight="1"/>
  <cols>
    <col min="1" max="1" width="4.42578125" customWidth="1"/>
    <col min="2" max="2" width="52.7109375" customWidth="1"/>
    <col min="3" max="4" width="8.140625" customWidth="1"/>
    <col min="5" max="5" width="8.42578125" customWidth="1"/>
    <col min="6" max="7" width="8.140625" customWidth="1"/>
    <col min="8" max="8" width="8.5703125" customWidth="1"/>
    <col min="9" max="10" width="8.42578125" customWidth="1"/>
    <col min="11" max="17" width="8" customWidth="1"/>
  </cols>
  <sheetData>
    <row r="1" spans="1:17" ht="40.9" customHeight="1">
      <c r="A1" s="1"/>
      <c r="B1" s="2" t="s">
        <v>0</v>
      </c>
      <c r="C1" s="1"/>
      <c r="D1" s="1"/>
      <c r="E1" s="1"/>
      <c r="F1" s="1"/>
      <c r="G1" s="3" t="s">
        <v>1</v>
      </c>
      <c r="H1" s="3"/>
      <c r="I1" s="1"/>
      <c r="J1" s="1"/>
      <c r="K1" s="4"/>
      <c r="L1" s="4"/>
      <c r="M1" s="4"/>
      <c r="N1" s="4"/>
      <c r="O1" s="4"/>
      <c r="P1" s="4"/>
      <c r="Q1" s="4"/>
    </row>
    <row r="2" spans="1:17" ht="15.75" customHeight="1">
      <c r="A2" s="1"/>
      <c r="B2" s="5" t="s">
        <v>2</v>
      </c>
      <c r="C2" s="1"/>
      <c r="D2" s="1"/>
      <c r="E2" s="1"/>
      <c r="F2" s="1"/>
      <c r="G2" s="3" t="s">
        <v>3</v>
      </c>
      <c r="H2" s="3"/>
      <c r="I2" s="1"/>
      <c r="J2" s="1"/>
      <c r="K2" s="4"/>
      <c r="L2" s="4"/>
      <c r="M2" s="4"/>
      <c r="N2" s="4"/>
      <c r="O2" s="4"/>
      <c r="P2" s="4"/>
      <c r="Q2" s="4"/>
    </row>
    <row r="3" spans="1:17" ht="15.75" customHeight="1">
      <c r="A3" s="1"/>
      <c r="B3" s="1"/>
      <c r="C3" s="1"/>
      <c r="D3" s="1"/>
      <c r="E3" s="1"/>
      <c r="F3" s="1"/>
      <c r="G3" s="3" t="s">
        <v>4</v>
      </c>
      <c r="H3" s="3"/>
      <c r="I3" s="1"/>
      <c r="J3" s="1"/>
      <c r="K3" s="4"/>
      <c r="L3" s="4"/>
      <c r="M3" s="4"/>
      <c r="N3" s="4"/>
      <c r="O3" s="4"/>
      <c r="P3" s="4"/>
      <c r="Q3" s="4"/>
    </row>
    <row r="4" spans="1:17" ht="15.75" customHeight="1">
      <c r="A4" s="1"/>
      <c r="B4" s="1"/>
      <c r="C4" s="1"/>
      <c r="D4" s="1"/>
      <c r="E4" s="1"/>
      <c r="F4" s="1"/>
      <c r="G4" s="49" t="s">
        <v>4</v>
      </c>
      <c r="H4" s="50"/>
      <c r="I4" s="50"/>
      <c r="J4" s="1"/>
      <c r="K4" s="4"/>
      <c r="L4" s="4"/>
      <c r="M4" s="4"/>
      <c r="N4" s="4"/>
      <c r="O4" s="4"/>
      <c r="P4" s="4"/>
      <c r="Q4" s="4"/>
    </row>
    <row r="5" spans="1:17" ht="15.75" customHeight="1">
      <c r="A5" s="1"/>
      <c r="B5" s="1"/>
      <c r="C5" s="1"/>
      <c r="D5" s="1"/>
      <c r="E5" s="1"/>
      <c r="F5" s="1"/>
      <c r="G5" s="3" t="s">
        <v>5</v>
      </c>
      <c r="H5" s="3"/>
      <c r="I5" s="1"/>
      <c r="J5" s="1"/>
      <c r="K5" s="4"/>
      <c r="L5" s="4"/>
      <c r="M5" s="4"/>
      <c r="N5" s="4"/>
      <c r="O5" s="4"/>
      <c r="P5" s="4"/>
      <c r="Q5" s="4"/>
    </row>
    <row r="6" spans="1:17" ht="15.75" customHeight="1">
      <c r="A6" s="51" t="s">
        <v>6</v>
      </c>
      <c r="B6" s="50"/>
      <c r="C6" s="50"/>
      <c r="D6" s="50"/>
      <c r="E6" s="50"/>
      <c r="F6" s="50"/>
      <c r="G6" s="50"/>
      <c r="H6" s="50"/>
      <c r="I6" s="50"/>
      <c r="J6" s="50"/>
      <c r="K6" s="4"/>
      <c r="L6" s="4"/>
      <c r="M6" s="4"/>
      <c r="N6" s="4"/>
      <c r="O6" s="4"/>
      <c r="P6" s="4"/>
      <c r="Q6" s="4"/>
    </row>
    <row r="7" spans="1:17" ht="20.25" customHeight="1" thickBot="1">
      <c r="A7" s="52" t="s">
        <v>7</v>
      </c>
      <c r="B7" s="53"/>
      <c r="C7" s="53"/>
      <c r="D7" s="53"/>
      <c r="E7" s="53"/>
      <c r="F7" s="53"/>
      <c r="G7" s="53"/>
      <c r="H7" s="53"/>
      <c r="I7" s="53"/>
      <c r="J7" s="53"/>
      <c r="K7" s="4"/>
      <c r="L7" s="4"/>
      <c r="M7" s="4"/>
      <c r="N7" s="4"/>
      <c r="O7" s="4"/>
      <c r="P7" s="4"/>
      <c r="Q7" s="4"/>
    </row>
    <row r="8" spans="1:17" ht="16.5" customHeight="1" thickBot="1">
      <c r="A8" s="54" t="s">
        <v>8</v>
      </c>
      <c r="B8" s="6" t="s">
        <v>9</v>
      </c>
      <c r="C8" s="56" t="s">
        <v>10</v>
      </c>
      <c r="D8" s="57"/>
      <c r="E8" s="58" t="s">
        <v>11</v>
      </c>
      <c r="F8" s="59"/>
      <c r="G8" s="59"/>
      <c r="H8" s="59"/>
      <c r="I8" s="59"/>
      <c r="J8" s="60"/>
      <c r="K8" s="4"/>
      <c r="L8" s="4"/>
      <c r="M8" s="4"/>
      <c r="N8" s="4"/>
      <c r="O8" s="4"/>
      <c r="P8" s="4"/>
      <c r="Q8" s="4"/>
    </row>
    <row r="9" spans="1:17" ht="13.5" customHeight="1" thickBot="1">
      <c r="A9" s="55"/>
      <c r="B9" s="7"/>
      <c r="C9" s="8" t="s">
        <v>12</v>
      </c>
      <c r="D9" s="9" t="s">
        <v>13</v>
      </c>
      <c r="E9" s="8" t="s">
        <v>12</v>
      </c>
      <c r="F9" s="10" t="s">
        <v>13</v>
      </c>
      <c r="G9" s="8" t="s">
        <v>12</v>
      </c>
      <c r="H9" s="10" t="s">
        <v>13</v>
      </c>
      <c r="I9" s="8" t="s">
        <v>12</v>
      </c>
      <c r="J9" s="9" t="s">
        <v>13</v>
      </c>
      <c r="K9" s="4"/>
      <c r="L9" s="4"/>
      <c r="M9" s="4"/>
      <c r="N9" s="4"/>
      <c r="O9" s="4"/>
      <c r="P9" s="4"/>
      <c r="Q9" s="4"/>
    </row>
    <row r="10" spans="1:17" ht="18" customHeight="1">
      <c r="A10" s="11">
        <v>1</v>
      </c>
      <c r="B10" s="12" t="s">
        <v>14</v>
      </c>
      <c r="C10" s="13">
        <v>250</v>
      </c>
      <c r="D10" s="14">
        <v>200</v>
      </c>
      <c r="E10" s="15">
        <v>50</v>
      </c>
      <c r="F10" s="16">
        <v>40</v>
      </c>
      <c r="G10" s="15">
        <v>62.5</v>
      </c>
      <c r="H10" s="16">
        <v>50</v>
      </c>
      <c r="I10" s="17">
        <v>75</v>
      </c>
      <c r="J10" s="18">
        <v>60</v>
      </c>
      <c r="K10" s="4"/>
      <c r="L10" s="4"/>
      <c r="M10" s="4"/>
      <c r="N10" s="4"/>
      <c r="O10" s="4"/>
      <c r="P10" s="4"/>
      <c r="Q10" s="4"/>
    </row>
    <row r="11" spans="1:17" ht="18.75" customHeight="1">
      <c r="A11" s="11"/>
      <c r="B11" s="19" t="s">
        <v>15</v>
      </c>
      <c r="C11" s="20">
        <v>267</v>
      </c>
      <c r="D11" s="21">
        <v>200</v>
      </c>
      <c r="E11" s="22">
        <v>53</v>
      </c>
      <c r="F11" s="23">
        <v>40</v>
      </c>
      <c r="G11" s="22">
        <v>67</v>
      </c>
      <c r="H11" s="23">
        <v>50</v>
      </c>
      <c r="I11" s="24">
        <v>80</v>
      </c>
      <c r="J11" s="25">
        <v>60</v>
      </c>
      <c r="K11" s="4"/>
      <c r="L11" s="4"/>
      <c r="M11" s="4"/>
      <c r="N11" s="4"/>
      <c r="O11" s="4"/>
      <c r="P11" s="4"/>
      <c r="Q11" s="4"/>
    </row>
    <row r="12" spans="1:17" ht="18.75" customHeight="1">
      <c r="A12" s="11"/>
      <c r="B12" s="26" t="s">
        <v>16</v>
      </c>
      <c r="C12" s="27">
        <v>286</v>
      </c>
      <c r="D12" s="28">
        <v>200</v>
      </c>
      <c r="E12" s="22">
        <v>57</v>
      </c>
      <c r="F12" s="23">
        <v>40</v>
      </c>
      <c r="G12" s="22">
        <v>71.400000000000006</v>
      </c>
      <c r="H12" s="23">
        <v>50</v>
      </c>
      <c r="I12" s="24">
        <v>86</v>
      </c>
      <c r="J12" s="25">
        <v>60</v>
      </c>
      <c r="K12" s="4"/>
      <c r="L12" s="4"/>
      <c r="M12" s="4"/>
      <c r="N12" s="4"/>
      <c r="O12" s="4"/>
      <c r="P12" s="4"/>
      <c r="Q12" s="4"/>
    </row>
    <row r="13" spans="1:17" ht="18.75" customHeight="1">
      <c r="A13" s="11"/>
      <c r="B13" s="19" t="s">
        <v>17</v>
      </c>
      <c r="C13" s="20">
        <v>307</v>
      </c>
      <c r="D13" s="21">
        <v>200</v>
      </c>
      <c r="E13" s="22">
        <v>61.5</v>
      </c>
      <c r="F13" s="23">
        <v>40</v>
      </c>
      <c r="G13" s="22">
        <v>77</v>
      </c>
      <c r="H13" s="23">
        <v>50</v>
      </c>
      <c r="I13" s="24">
        <v>92</v>
      </c>
      <c r="J13" s="25">
        <v>60</v>
      </c>
      <c r="K13" s="4"/>
      <c r="L13" s="4"/>
      <c r="M13" s="4"/>
      <c r="N13" s="4"/>
      <c r="O13" s="4"/>
      <c r="P13" s="4"/>
      <c r="Q13" s="4"/>
    </row>
    <row r="14" spans="1:17" ht="18.75" customHeight="1">
      <c r="A14" s="11"/>
      <c r="B14" s="26" t="s">
        <v>18</v>
      </c>
      <c r="C14" s="20">
        <v>333</v>
      </c>
      <c r="D14" s="21">
        <v>200</v>
      </c>
      <c r="E14" s="22">
        <v>67</v>
      </c>
      <c r="F14" s="23">
        <v>40</v>
      </c>
      <c r="G14" s="22">
        <v>83.3</v>
      </c>
      <c r="H14" s="23">
        <v>50</v>
      </c>
      <c r="I14" s="24">
        <v>100</v>
      </c>
      <c r="J14" s="25">
        <v>60</v>
      </c>
      <c r="K14" s="4"/>
      <c r="L14" s="4"/>
      <c r="M14" s="4"/>
      <c r="N14" s="4"/>
      <c r="O14" s="4"/>
      <c r="P14" s="4"/>
      <c r="Q14" s="4"/>
    </row>
    <row r="15" spans="1:17" ht="18.75" customHeight="1">
      <c r="A15" s="11">
        <v>2</v>
      </c>
      <c r="B15" s="29" t="s">
        <v>19</v>
      </c>
      <c r="C15" s="20">
        <v>50</v>
      </c>
      <c r="D15" s="21">
        <v>40</v>
      </c>
      <c r="E15" s="22">
        <v>10</v>
      </c>
      <c r="F15" s="23">
        <v>8</v>
      </c>
      <c r="G15" s="22">
        <v>12.5</v>
      </c>
      <c r="H15" s="23">
        <v>10</v>
      </c>
      <c r="I15" s="24">
        <v>15</v>
      </c>
      <c r="J15" s="25">
        <v>12</v>
      </c>
      <c r="K15" s="4"/>
      <c r="L15" s="4"/>
      <c r="M15" s="4"/>
      <c r="N15" s="4"/>
      <c r="O15" s="4"/>
      <c r="P15" s="4"/>
      <c r="Q15" s="4"/>
    </row>
    <row r="16" spans="1:17" ht="18.75" customHeight="1">
      <c r="A16" s="11"/>
      <c r="B16" s="30" t="s">
        <v>20</v>
      </c>
      <c r="C16" s="20">
        <v>53.3</v>
      </c>
      <c r="D16" s="21">
        <v>40</v>
      </c>
      <c r="E16" s="22">
        <v>11</v>
      </c>
      <c r="F16" s="23">
        <v>8</v>
      </c>
      <c r="G16" s="22">
        <v>13.3</v>
      </c>
      <c r="H16" s="23">
        <v>10</v>
      </c>
      <c r="I16" s="24">
        <v>16</v>
      </c>
      <c r="J16" s="25">
        <v>12</v>
      </c>
      <c r="K16" s="4"/>
      <c r="L16" s="4"/>
      <c r="M16" s="4"/>
      <c r="N16" s="4"/>
      <c r="O16" s="4"/>
      <c r="P16" s="4"/>
      <c r="Q16" s="4"/>
    </row>
    <row r="17" spans="1:17" ht="18.75" customHeight="1">
      <c r="A17" s="11">
        <v>3</v>
      </c>
      <c r="B17" s="31" t="s">
        <v>21</v>
      </c>
      <c r="C17" s="20">
        <v>48</v>
      </c>
      <c r="D17" s="21">
        <v>40</v>
      </c>
      <c r="E17" s="22">
        <f>C17*200/1000</f>
        <v>9.6</v>
      </c>
      <c r="F17" s="23">
        <f>D17*200/1000</f>
        <v>8</v>
      </c>
      <c r="G17" s="22">
        <f>C17*250/1000</f>
        <v>12</v>
      </c>
      <c r="H17" s="23">
        <f>D17*250/1000</f>
        <v>10</v>
      </c>
      <c r="I17" s="24">
        <f>C17*300/1000</f>
        <v>14.4</v>
      </c>
      <c r="J17" s="25">
        <f>D17*300/1000</f>
        <v>12</v>
      </c>
      <c r="K17" s="4"/>
      <c r="L17" s="4"/>
      <c r="M17" s="4"/>
      <c r="N17" s="4"/>
      <c r="O17" s="4"/>
      <c r="P17" s="4"/>
      <c r="Q17" s="4"/>
    </row>
    <row r="18" spans="1:17" ht="18.75" customHeight="1">
      <c r="A18" s="11">
        <v>4</v>
      </c>
      <c r="B18" s="31" t="s">
        <v>22</v>
      </c>
      <c r="C18" s="20">
        <v>10</v>
      </c>
      <c r="D18" s="21">
        <v>10</v>
      </c>
      <c r="E18" s="22">
        <f t="shared" ref="E18:F20" si="0">C18*200/1000</f>
        <v>2</v>
      </c>
      <c r="F18" s="23">
        <f t="shared" si="0"/>
        <v>2</v>
      </c>
      <c r="G18" s="22">
        <f t="shared" ref="G18:H20" si="1">C18*250/1000</f>
        <v>2.5</v>
      </c>
      <c r="H18" s="23">
        <f t="shared" si="1"/>
        <v>2.5</v>
      </c>
      <c r="I18" s="24">
        <f t="shared" ref="I18:J20" si="2">C18*300/1000</f>
        <v>3</v>
      </c>
      <c r="J18" s="25">
        <f t="shared" si="2"/>
        <v>3</v>
      </c>
      <c r="K18" s="4"/>
      <c r="L18" s="4"/>
      <c r="M18" s="4"/>
      <c r="N18" s="4"/>
      <c r="O18" s="4"/>
      <c r="P18" s="4"/>
      <c r="Q18" s="4"/>
    </row>
    <row r="19" spans="1:17" ht="18.75" customHeight="1">
      <c r="A19" s="11">
        <v>5</v>
      </c>
      <c r="B19" s="31" t="s">
        <v>23</v>
      </c>
      <c r="C19" s="20"/>
      <c r="D19" s="21">
        <v>260</v>
      </c>
      <c r="E19" s="22"/>
      <c r="F19" s="23">
        <f t="shared" si="0"/>
        <v>52</v>
      </c>
      <c r="G19" s="22"/>
      <c r="H19" s="23">
        <f t="shared" si="1"/>
        <v>65</v>
      </c>
      <c r="I19" s="24"/>
      <c r="J19" s="25">
        <f t="shared" si="2"/>
        <v>78</v>
      </c>
      <c r="K19" s="4"/>
      <c r="L19" s="4"/>
      <c r="M19" s="4"/>
      <c r="N19" s="4"/>
      <c r="O19" s="4"/>
      <c r="P19" s="4"/>
      <c r="Q19" s="4"/>
    </row>
    <row r="20" spans="1:17" ht="18.75" customHeight="1">
      <c r="A20" s="11">
        <v>6</v>
      </c>
      <c r="B20" s="31" t="s">
        <v>24</v>
      </c>
      <c r="C20" s="20">
        <v>750</v>
      </c>
      <c r="D20" s="21">
        <v>750</v>
      </c>
      <c r="E20" s="22">
        <f t="shared" si="0"/>
        <v>150</v>
      </c>
      <c r="F20" s="23">
        <f t="shared" si="0"/>
        <v>150</v>
      </c>
      <c r="G20" s="22">
        <f t="shared" si="1"/>
        <v>187.5</v>
      </c>
      <c r="H20" s="23">
        <f t="shared" si="1"/>
        <v>187.5</v>
      </c>
      <c r="I20" s="24">
        <f t="shared" si="2"/>
        <v>225</v>
      </c>
      <c r="J20" s="25">
        <f t="shared" si="2"/>
        <v>225</v>
      </c>
      <c r="K20" s="4"/>
      <c r="L20" s="4"/>
      <c r="M20" s="4"/>
      <c r="N20" s="4"/>
      <c r="O20" s="4"/>
      <c r="P20" s="4"/>
      <c r="Q20" s="4"/>
    </row>
    <row r="21" spans="1:17" ht="18.75" customHeight="1">
      <c r="A21" s="11">
        <v>7</v>
      </c>
      <c r="B21" s="32" t="s">
        <v>25</v>
      </c>
      <c r="C21" s="33">
        <v>3</v>
      </c>
      <c r="D21" s="34">
        <v>3</v>
      </c>
      <c r="E21" s="22">
        <v>0.6</v>
      </c>
      <c r="F21" s="23">
        <v>0.6</v>
      </c>
      <c r="G21" s="22">
        <v>0.75</v>
      </c>
      <c r="H21" s="23">
        <v>0.8</v>
      </c>
      <c r="I21" s="24">
        <v>0.9</v>
      </c>
      <c r="J21" s="25">
        <v>0.9</v>
      </c>
      <c r="K21" s="4"/>
      <c r="L21" s="4"/>
      <c r="M21" s="4"/>
      <c r="N21" s="4"/>
      <c r="O21" s="4"/>
      <c r="P21" s="4"/>
      <c r="Q21" s="4"/>
    </row>
    <row r="22" spans="1:17" ht="19.5" customHeight="1" thickBot="1">
      <c r="A22" s="35">
        <v>8</v>
      </c>
      <c r="B22" s="36" t="s">
        <v>26</v>
      </c>
      <c r="C22" s="37">
        <v>0.5</v>
      </c>
      <c r="D22" s="38">
        <v>0.5</v>
      </c>
      <c r="E22" s="39">
        <v>0.1</v>
      </c>
      <c r="F22" s="40">
        <v>0.1</v>
      </c>
      <c r="G22" s="39">
        <v>0.1</v>
      </c>
      <c r="H22" s="40">
        <v>0.1</v>
      </c>
      <c r="I22" s="41">
        <v>0.2</v>
      </c>
      <c r="J22" s="42">
        <v>0.2</v>
      </c>
      <c r="K22" s="4"/>
      <c r="L22" s="4"/>
      <c r="M22" s="4"/>
      <c r="N22" s="4"/>
      <c r="O22" s="4"/>
      <c r="P22" s="4"/>
      <c r="Q22" s="4"/>
    </row>
    <row r="23" spans="1:17" ht="19.5" customHeight="1" thickBot="1">
      <c r="A23" s="61" t="s">
        <v>27</v>
      </c>
      <c r="B23" s="60"/>
      <c r="C23" s="62">
        <v>1000</v>
      </c>
      <c r="D23" s="63"/>
      <c r="E23" s="64">
        <v>200</v>
      </c>
      <c r="F23" s="63"/>
      <c r="G23" s="64">
        <v>250</v>
      </c>
      <c r="H23" s="63"/>
      <c r="I23" s="64">
        <v>300</v>
      </c>
      <c r="J23" s="63"/>
      <c r="K23" s="4"/>
      <c r="L23" s="4"/>
      <c r="M23" s="4"/>
      <c r="N23" s="4"/>
      <c r="O23" s="4"/>
      <c r="P23" s="4"/>
      <c r="Q23" s="4"/>
    </row>
    <row r="24" spans="1:17" ht="44.25" customHeight="1">
      <c r="A24" s="46" t="s">
        <v>28</v>
      </c>
      <c r="B24" s="47"/>
      <c r="C24" s="48"/>
      <c r="D24" s="48"/>
      <c r="E24" s="48"/>
      <c r="F24" s="48"/>
      <c r="G24" s="48"/>
      <c r="H24" s="48"/>
      <c r="I24" s="48"/>
      <c r="J24" s="48"/>
      <c r="K24" s="4"/>
      <c r="L24" s="4"/>
      <c r="M24" s="4"/>
      <c r="N24" s="4"/>
      <c r="O24" s="4"/>
      <c r="P24" s="4"/>
      <c r="Q24" s="4"/>
    </row>
    <row r="25" spans="1:17" ht="20.25" customHeight="1">
      <c r="A25" s="65"/>
      <c r="B25" s="50"/>
      <c r="C25" s="50"/>
      <c r="D25" s="50"/>
      <c r="E25" s="50"/>
      <c r="F25" s="50"/>
      <c r="G25" s="50"/>
      <c r="H25" s="50"/>
      <c r="I25" s="50"/>
      <c r="J25" s="50"/>
      <c r="K25" s="4"/>
      <c r="L25" s="4"/>
      <c r="M25" s="4"/>
      <c r="N25" s="4"/>
      <c r="O25" s="4"/>
      <c r="P25" s="4"/>
      <c r="Q25" s="4"/>
    </row>
    <row r="26" spans="1:17" ht="36.75" customHeight="1">
      <c r="A26" s="66" t="s">
        <v>29</v>
      </c>
      <c r="B26" s="50"/>
      <c r="C26" s="50"/>
      <c r="D26" s="50"/>
      <c r="E26" s="50"/>
      <c r="F26" s="50"/>
      <c r="G26" s="50"/>
      <c r="H26" s="50"/>
      <c r="I26" s="50"/>
      <c r="J26" s="50"/>
      <c r="K26" s="4"/>
      <c r="L26" s="4"/>
      <c r="M26" s="4"/>
      <c r="N26" s="4"/>
      <c r="O26" s="4"/>
      <c r="P26" s="4"/>
      <c r="Q26" s="4"/>
    </row>
    <row r="27" spans="1:17" ht="198.6" customHeight="1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4"/>
      <c r="L27" s="4"/>
      <c r="M27" s="4"/>
      <c r="N27" s="4"/>
      <c r="O27" s="4"/>
      <c r="P27" s="4"/>
      <c r="Q27" s="4"/>
    </row>
    <row r="28" spans="1:17" ht="18.75" customHeight="1">
      <c r="A28" s="67" t="s">
        <v>30</v>
      </c>
      <c r="B28" s="50"/>
      <c r="C28" s="50"/>
      <c r="D28" s="50"/>
      <c r="E28" s="50"/>
      <c r="F28" s="50"/>
      <c r="G28" s="43"/>
      <c r="H28" s="43"/>
      <c r="I28" s="43"/>
      <c r="J28" s="43"/>
      <c r="K28" s="4"/>
      <c r="L28" s="4"/>
      <c r="M28" s="4"/>
      <c r="N28" s="4"/>
      <c r="O28" s="4"/>
      <c r="P28" s="4"/>
      <c r="Q28" s="4"/>
    </row>
    <row r="29" spans="1:17" ht="34.5" customHeight="1">
      <c r="A29" s="44" t="s">
        <v>31</v>
      </c>
      <c r="B29" s="43"/>
      <c r="C29" s="43"/>
      <c r="D29" s="43"/>
      <c r="E29" s="43"/>
      <c r="F29" s="43"/>
      <c r="G29" s="43"/>
      <c r="H29" s="43"/>
      <c r="I29" s="43"/>
      <c r="J29" s="43"/>
      <c r="K29" s="4"/>
      <c r="L29" s="4"/>
      <c r="M29" s="4"/>
      <c r="N29" s="4"/>
      <c r="O29" s="4"/>
      <c r="P29" s="4"/>
      <c r="Q29" s="4"/>
    </row>
    <row r="30" spans="1:17" ht="19.5" customHeight="1" thickBot="1">
      <c r="A30" s="65" t="s">
        <v>32</v>
      </c>
      <c r="B30" s="50"/>
      <c r="C30" s="50"/>
      <c r="D30" s="50"/>
      <c r="E30" s="50"/>
      <c r="F30" s="50"/>
      <c r="G30" s="50"/>
      <c r="H30" s="50"/>
      <c r="I30" s="50"/>
      <c r="J30" s="50"/>
      <c r="K30" s="4"/>
      <c r="L30" s="4"/>
      <c r="M30" s="4"/>
      <c r="N30" s="4"/>
      <c r="O30" s="4"/>
      <c r="P30" s="4"/>
      <c r="Q30" s="4"/>
    </row>
    <row r="31" spans="1:17" ht="38.25" customHeight="1" thickBot="1">
      <c r="A31" s="68" t="s">
        <v>33</v>
      </c>
      <c r="B31" s="69"/>
      <c r="C31" s="70" t="s">
        <v>34</v>
      </c>
      <c r="D31" s="71"/>
      <c r="E31" s="72" t="s">
        <v>35</v>
      </c>
      <c r="F31" s="69"/>
      <c r="G31" s="73" t="s">
        <v>36</v>
      </c>
      <c r="H31" s="71"/>
      <c r="I31" s="72" t="s">
        <v>37</v>
      </c>
      <c r="J31" s="71"/>
      <c r="K31" s="4"/>
      <c r="L31" s="4"/>
      <c r="M31" s="4"/>
      <c r="N31" s="4"/>
      <c r="O31" s="4"/>
      <c r="P31" s="4"/>
      <c r="Q31" s="4"/>
    </row>
    <row r="32" spans="1:17" ht="16.5" customHeight="1" thickBot="1">
      <c r="A32" s="74">
        <v>100</v>
      </c>
      <c r="B32" s="69"/>
      <c r="C32" s="75">
        <f>C34*100/250</f>
        <v>2</v>
      </c>
      <c r="D32" s="71"/>
      <c r="E32" s="75">
        <f t="shared" ref="E32" si="3">E34*100/250</f>
        <v>2.44</v>
      </c>
      <c r="F32" s="71"/>
      <c r="G32" s="75">
        <f t="shared" ref="G32" si="4">G34*100/250</f>
        <v>10.24</v>
      </c>
      <c r="H32" s="71"/>
      <c r="I32" s="75">
        <f t="shared" ref="I32" si="5">I34*100/250</f>
        <v>71.2</v>
      </c>
      <c r="J32" s="71"/>
      <c r="K32" s="4"/>
      <c r="L32" s="4"/>
      <c r="M32" s="4"/>
      <c r="N32" s="4"/>
      <c r="O32" s="4"/>
      <c r="P32" s="4"/>
      <c r="Q32" s="4"/>
    </row>
    <row r="33" spans="1:17" ht="16.5" customHeight="1" thickBot="1">
      <c r="A33" s="74">
        <v>200</v>
      </c>
      <c r="B33" s="69"/>
      <c r="C33" s="75">
        <f>C34*200/250</f>
        <v>4</v>
      </c>
      <c r="D33" s="71"/>
      <c r="E33" s="75">
        <f t="shared" ref="E33" si="6">E34*200/250</f>
        <v>4.88</v>
      </c>
      <c r="F33" s="71"/>
      <c r="G33" s="75">
        <f t="shared" ref="G33" si="7">G34*200/250</f>
        <v>20.48</v>
      </c>
      <c r="H33" s="71"/>
      <c r="I33" s="75">
        <f t="shared" ref="I33" si="8">I34*200/250</f>
        <v>142.4</v>
      </c>
      <c r="J33" s="71"/>
      <c r="K33" s="4"/>
      <c r="L33" s="4"/>
      <c r="M33" s="4"/>
      <c r="N33" s="4"/>
      <c r="O33" s="4"/>
      <c r="P33" s="4"/>
      <c r="Q33" s="4"/>
    </row>
    <row r="34" spans="1:17" ht="16.5" customHeight="1" thickBot="1">
      <c r="A34" s="74">
        <v>250</v>
      </c>
      <c r="B34" s="69"/>
      <c r="C34" s="75">
        <v>5</v>
      </c>
      <c r="D34" s="69"/>
      <c r="E34" s="75">
        <v>6.1</v>
      </c>
      <c r="F34" s="69"/>
      <c r="G34" s="75">
        <v>25.6</v>
      </c>
      <c r="H34" s="69"/>
      <c r="I34" s="75">
        <v>178</v>
      </c>
      <c r="J34" s="71"/>
      <c r="K34" s="4"/>
      <c r="L34" s="4"/>
      <c r="M34" s="4"/>
      <c r="N34" s="4"/>
      <c r="O34" s="4"/>
      <c r="P34" s="4"/>
      <c r="Q34" s="4"/>
    </row>
    <row r="35" spans="1:17" ht="15.75" customHeight="1" thickBot="1">
      <c r="A35" s="74">
        <v>300</v>
      </c>
      <c r="B35" s="69"/>
      <c r="C35" s="75">
        <f>C33*300/200</f>
        <v>6</v>
      </c>
      <c r="D35" s="69"/>
      <c r="E35" s="75">
        <f t="shared" ref="E35" si="9">E33*300/200</f>
        <v>7.32</v>
      </c>
      <c r="F35" s="69"/>
      <c r="G35" s="75">
        <f t="shared" ref="G35" si="10">G33*300/200</f>
        <v>30.72</v>
      </c>
      <c r="H35" s="69"/>
      <c r="I35" s="75">
        <f t="shared" ref="I35" si="11">I33*300/200</f>
        <v>213.6</v>
      </c>
      <c r="J35" s="69"/>
      <c r="K35" s="4"/>
      <c r="L35" s="4"/>
      <c r="M35" s="4"/>
      <c r="N35" s="4"/>
      <c r="O35" s="4"/>
      <c r="P35" s="4"/>
      <c r="Q35" s="4"/>
    </row>
    <row r="36" spans="1:17" ht="15.75" customHeight="1">
      <c r="A36" s="65"/>
      <c r="B36" s="50"/>
      <c r="C36" s="50"/>
      <c r="D36" s="50"/>
      <c r="E36" s="50"/>
      <c r="F36" s="50"/>
      <c r="G36" s="50"/>
      <c r="H36" s="50"/>
      <c r="I36" s="50"/>
      <c r="J36" s="50"/>
      <c r="K36" s="4"/>
      <c r="L36" s="4"/>
      <c r="M36" s="4"/>
      <c r="N36" s="4"/>
      <c r="O36" s="4"/>
      <c r="P36" s="4"/>
      <c r="Q36" s="4"/>
    </row>
    <row r="37" spans="1:17" ht="15.75" customHeight="1">
      <c r="A37" s="45"/>
      <c r="K37" s="4"/>
      <c r="L37" s="4"/>
      <c r="M37" s="4"/>
      <c r="N37" s="4"/>
      <c r="O37" s="4"/>
      <c r="P37" s="4"/>
      <c r="Q37" s="4"/>
    </row>
    <row r="38" spans="1:17" ht="15.75" customHeight="1">
      <c r="A38" s="76"/>
      <c r="B38" s="50"/>
      <c r="C38" s="77"/>
      <c r="D38" s="50"/>
      <c r="E38" s="76"/>
      <c r="F38" s="50"/>
      <c r="G38" s="49"/>
      <c r="H38" s="50"/>
      <c r="I38" s="76"/>
      <c r="J38" s="50"/>
      <c r="K38" s="4"/>
      <c r="L38" s="4"/>
      <c r="M38" s="4"/>
      <c r="N38" s="4"/>
      <c r="O38" s="4"/>
      <c r="P38" s="4"/>
      <c r="Q38" s="4"/>
    </row>
    <row r="39" spans="1:17" ht="15.75" customHeight="1">
      <c r="A39" s="81"/>
      <c r="B39" s="50"/>
      <c r="C39" s="80"/>
      <c r="D39" s="50"/>
      <c r="E39" s="80"/>
      <c r="F39" s="50"/>
      <c r="G39" s="80"/>
      <c r="H39" s="50"/>
      <c r="I39" s="80"/>
      <c r="J39" s="50"/>
      <c r="K39" s="4"/>
      <c r="L39" s="4"/>
      <c r="M39" s="4"/>
      <c r="N39" s="4"/>
      <c r="O39" s="4"/>
      <c r="P39" s="4"/>
      <c r="Q39" s="4"/>
    </row>
    <row r="40" spans="1:17" ht="15.75" customHeight="1">
      <c r="A40" s="78" t="s">
        <v>38</v>
      </c>
      <c r="B40" s="79"/>
      <c r="C40" s="80"/>
      <c r="D40" s="50"/>
      <c r="E40" s="80"/>
      <c r="F40" s="50"/>
      <c r="G40" s="80"/>
      <c r="H40" s="50"/>
      <c r="I40" s="80"/>
      <c r="J40" s="50"/>
      <c r="K40" s="4"/>
      <c r="L40" s="4"/>
      <c r="M40" s="4"/>
      <c r="N40" s="4"/>
      <c r="O40" s="4"/>
      <c r="P40" s="4"/>
      <c r="Q40" s="4"/>
    </row>
    <row r="41" spans="1:17" ht="15.75" customHeight="1">
      <c r="A41" s="82"/>
      <c r="B41" s="50"/>
      <c r="C41" s="83"/>
      <c r="D41" s="50"/>
      <c r="E41" s="83"/>
      <c r="F41" s="50"/>
      <c r="G41" s="83"/>
      <c r="H41" s="50"/>
      <c r="I41" s="83"/>
      <c r="J41" s="50"/>
      <c r="K41" s="4"/>
      <c r="L41" s="4"/>
      <c r="M41" s="4"/>
      <c r="N41" s="4"/>
      <c r="O41" s="4"/>
      <c r="P41" s="4"/>
      <c r="Q41" s="4"/>
    </row>
    <row r="42" spans="1:17" ht="15.75" customHeight="1">
      <c r="A42" s="82"/>
      <c r="B42" s="50"/>
      <c r="C42" s="80"/>
      <c r="D42" s="50"/>
      <c r="E42" s="80"/>
      <c r="F42" s="50"/>
      <c r="G42" s="80"/>
      <c r="H42" s="50"/>
      <c r="I42" s="80"/>
      <c r="J42" s="50"/>
      <c r="K42" s="4"/>
      <c r="L42" s="4"/>
      <c r="M42" s="4"/>
      <c r="N42" s="4"/>
      <c r="O42" s="4"/>
      <c r="P42" s="4"/>
      <c r="Q42" s="4"/>
    </row>
    <row r="43" spans="1:17" ht="15.75" customHeight="1">
      <c r="A43" s="82"/>
      <c r="B43" s="50"/>
      <c r="C43" s="80"/>
      <c r="D43" s="50"/>
      <c r="E43" s="80"/>
      <c r="F43" s="50"/>
      <c r="G43" s="80"/>
      <c r="H43" s="50"/>
      <c r="I43" s="80"/>
      <c r="J43" s="50"/>
      <c r="K43" s="4"/>
      <c r="L43" s="4"/>
      <c r="M43" s="4"/>
      <c r="N43" s="4"/>
      <c r="O43" s="4"/>
      <c r="P43" s="4"/>
      <c r="Q43" s="4"/>
    </row>
    <row r="44" spans="1:17" ht="15.75" customHeight="1">
      <c r="A44" s="4"/>
      <c r="B44" s="1"/>
      <c r="C44" s="1"/>
      <c r="D44" s="1"/>
      <c r="E44" s="1"/>
      <c r="F44" s="1"/>
      <c r="G44" s="1"/>
      <c r="H44" s="1"/>
      <c r="I44" s="1"/>
      <c r="J44" s="1"/>
      <c r="K44" s="4"/>
      <c r="L44" s="4"/>
      <c r="M44" s="4"/>
      <c r="N44" s="4"/>
      <c r="O44" s="4"/>
      <c r="P44" s="4"/>
      <c r="Q44" s="4"/>
    </row>
    <row r="45" spans="1:17" ht="15.75" customHeight="1">
      <c r="A45" s="4"/>
      <c r="B45" s="1"/>
      <c r="C45" s="1"/>
      <c r="D45" s="1"/>
      <c r="E45" s="1"/>
      <c r="F45" s="1"/>
      <c r="G45" s="1"/>
      <c r="H45" s="1"/>
      <c r="I45" s="1"/>
      <c r="J45" s="1"/>
      <c r="K45" s="4"/>
      <c r="L45" s="4"/>
      <c r="M45" s="4"/>
      <c r="N45" s="4"/>
      <c r="O45" s="4"/>
      <c r="P45" s="4"/>
      <c r="Q45" s="4"/>
    </row>
    <row r="46" spans="1:17" ht="15.75" customHeight="1">
      <c r="A46" s="65"/>
      <c r="B46" s="50"/>
      <c r="C46" s="50"/>
      <c r="D46" s="50"/>
      <c r="E46" s="50"/>
      <c r="F46" s="50"/>
      <c r="G46" s="50"/>
      <c r="H46" s="50"/>
      <c r="I46" s="50"/>
      <c r="J46" s="50"/>
      <c r="K46" s="4"/>
      <c r="L46" s="4"/>
      <c r="M46" s="4"/>
      <c r="N46" s="4"/>
      <c r="O46" s="4"/>
      <c r="P46" s="4"/>
      <c r="Q46" s="4"/>
    </row>
    <row r="47" spans="1:17" ht="12.75" customHeight="1">
      <c r="A47" s="76"/>
      <c r="B47" s="50"/>
      <c r="C47" s="77"/>
      <c r="D47" s="50"/>
      <c r="E47" s="76"/>
      <c r="F47" s="50"/>
      <c r="G47" s="49"/>
      <c r="H47" s="50"/>
      <c r="I47" s="76"/>
      <c r="J47" s="50"/>
      <c r="K47" s="4"/>
      <c r="L47" s="4"/>
      <c r="M47" s="4"/>
      <c r="N47" s="4"/>
      <c r="O47" s="4"/>
      <c r="P47" s="4"/>
      <c r="Q47" s="4"/>
    </row>
    <row r="48" spans="1:17" ht="12.75" customHeight="1">
      <c r="A48" s="81"/>
      <c r="B48" s="50"/>
      <c r="C48" s="80"/>
      <c r="D48" s="50"/>
      <c r="E48" s="80"/>
      <c r="F48" s="50"/>
      <c r="G48" s="80"/>
      <c r="H48" s="50"/>
      <c r="I48" s="80"/>
      <c r="J48" s="50"/>
      <c r="K48" s="4"/>
      <c r="L48" s="4"/>
      <c r="M48" s="4"/>
      <c r="N48" s="4"/>
      <c r="O48" s="4"/>
      <c r="P48" s="4"/>
      <c r="Q48" s="4"/>
    </row>
    <row r="49" spans="1:17" ht="12.75" customHeight="1">
      <c r="A49" s="82"/>
      <c r="B49" s="50"/>
      <c r="C49" s="80"/>
      <c r="D49" s="50"/>
      <c r="E49" s="80"/>
      <c r="F49" s="50"/>
      <c r="G49" s="80"/>
      <c r="H49" s="50"/>
      <c r="I49" s="80"/>
      <c r="J49" s="50"/>
      <c r="K49" s="4"/>
      <c r="L49" s="4"/>
      <c r="M49" s="4"/>
      <c r="N49" s="4"/>
      <c r="O49" s="4"/>
      <c r="P49" s="4"/>
      <c r="Q49" s="4"/>
    </row>
    <row r="50" spans="1:17" ht="12.75" customHeight="1">
      <c r="A50" s="82"/>
      <c r="B50" s="50"/>
      <c r="C50" s="83"/>
      <c r="D50" s="50"/>
      <c r="E50" s="83"/>
      <c r="F50" s="50"/>
      <c r="G50" s="83"/>
      <c r="H50" s="50"/>
      <c r="I50" s="83"/>
      <c r="J50" s="50"/>
      <c r="K50" s="4"/>
      <c r="L50" s="4"/>
      <c r="M50" s="4"/>
      <c r="N50" s="4"/>
      <c r="O50" s="4"/>
      <c r="P50" s="4"/>
      <c r="Q50" s="4"/>
    </row>
    <row r="51" spans="1:17" ht="12.75" customHeight="1">
      <c r="A51" s="82"/>
      <c r="B51" s="50"/>
      <c r="C51" s="80"/>
      <c r="D51" s="50"/>
      <c r="E51" s="80"/>
      <c r="F51" s="50"/>
      <c r="G51" s="80"/>
      <c r="H51" s="50"/>
      <c r="I51" s="80"/>
      <c r="J51" s="50"/>
      <c r="K51" s="4"/>
      <c r="L51" s="4"/>
      <c r="M51" s="4"/>
      <c r="N51" s="4"/>
      <c r="O51" s="4"/>
      <c r="P51" s="4"/>
      <c r="Q51" s="4"/>
    </row>
    <row r="52" spans="1:17" ht="12.75" customHeight="1">
      <c r="A52" s="4"/>
      <c r="B52" s="1"/>
      <c r="C52" s="1"/>
      <c r="D52" s="1"/>
      <c r="E52" s="1"/>
      <c r="F52" s="1"/>
      <c r="G52" s="1"/>
      <c r="H52" s="1"/>
      <c r="I52" s="1"/>
      <c r="J52" s="1"/>
      <c r="K52" s="4"/>
      <c r="L52" s="4"/>
      <c r="M52" s="4"/>
      <c r="N52" s="4"/>
      <c r="O52" s="4"/>
      <c r="P52" s="4"/>
      <c r="Q52" s="4"/>
    </row>
    <row r="53" spans="1:17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 spans="1:17" ht="15.75" customHeight="1">
      <c r="A54" s="4"/>
      <c r="B54" s="1"/>
      <c r="C54" s="1"/>
      <c r="D54" s="1"/>
      <c r="E54" s="1"/>
      <c r="F54" s="1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 spans="1:17" ht="15.75" customHeight="1">
      <c r="A55" s="4"/>
      <c r="B55" s="1"/>
      <c r="C55" s="1"/>
      <c r="D55" s="1"/>
      <c r="E55" s="1"/>
      <c r="F55" s="1"/>
      <c r="G55" s="1"/>
      <c r="H55" s="1"/>
      <c r="I55" s="1"/>
      <c r="J55" s="1"/>
      <c r="K55" s="4"/>
      <c r="L55" s="4"/>
      <c r="M55" s="4"/>
      <c r="N55" s="4"/>
      <c r="O55" s="4"/>
      <c r="P55" s="4"/>
      <c r="Q55" s="4"/>
    </row>
    <row r="56" spans="1:17" ht="15.75" customHeight="1">
      <c r="A56" s="4"/>
      <c r="B56" s="1"/>
      <c r="C56" s="1"/>
      <c r="D56" s="1"/>
      <c r="E56" s="1"/>
      <c r="F56" s="1"/>
      <c r="G56" s="1"/>
      <c r="H56" s="1"/>
      <c r="I56" s="1"/>
      <c r="J56" s="1"/>
      <c r="K56" s="4"/>
      <c r="L56" s="4"/>
      <c r="M56" s="4"/>
      <c r="N56" s="4"/>
      <c r="O56" s="4"/>
      <c r="P56" s="4"/>
      <c r="Q56" s="4"/>
    </row>
    <row r="57" spans="1:17" ht="15.75" customHeight="1">
      <c r="A57" s="4"/>
      <c r="B57" s="1"/>
      <c r="C57" s="1"/>
      <c r="D57" s="1"/>
      <c r="E57" s="1"/>
      <c r="F57" s="1"/>
      <c r="G57" s="1"/>
      <c r="H57" s="1"/>
      <c r="I57" s="1"/>
      <c r="J57" s="1"/>
      <c r="K57" s="4"/>
      <c r="L57" s="4"/>
      <c r="M57" s="4"/>
      <c r="N57" s="4"/>
      <c r="O57" s="4"/>
      <c r="P57" s="4"/>
      <c r="Q57" s="4"/>
    </row>
    <row r="58" spans="1:17" ht="15.75" customHeight="1">
      <c r="A58" s="4"/>
      <c r="B58" s="1"/>
      <c r="C58" s="1"/>
      <c r="D58" s="1"/>
      <c r="E58" s="1"/>
      <c r="F58" s="1"/>
      <c r="G58" s="1"/>
      <c r="H58" s="1"/>
      <c r="I58" s="1"/>
      <c r="J58" s="1"/>
      <c r="K58" s="4"/>
      <c r="L58" s="4"/>
      <c r="M58" s="4"/>
      <c r="N58" s="4"/>
      <c r="O58" s="4"/>
      <c r="P58" s="4"/>
      <c r="Q58" s="4"/>
    </row>
    <row r="59" spans="1:17" ht="15.75" customHeight="1">
      <c r="A59" s="4"/>
      <c r="B59" s="1"/>
      <c r="C59" s="1"/>
      <c r="D59" s="1"/>
      <c r="E59" s="1"/>
      <c r="F59" s="1"/>
      <c r="G59" s="1"/>
      <c r="H59" s="1"/>
      <c r="I59" s="1"/>
      <c r="J59" s="1"/>
      <c r="K59" s="4"/>
      <c r="L59" s="4"/>
      <c r="M59" s="4"/>
      <c r="N59" s="4"/>
      <c r="O59" s="4"/>
      <c r="P59" s="4"/>
      <c r="Q59" s="4"/>
    </row>
    <row r="60" spans="1:17" ht="15.75" customHeight="1">
      <c r="A60" s="4"/>
      <c r="B60" s="4"/>
      <c r="C60" s="4"/>
      <c r="D60" s="4"/>
      <c r="E60" s="4"/>
      <c r="F60" s="4"/>
      <c r="G60" s="1"/>
      <c r="H60" s="1"/>
      <c r="I60" s="1"/>
      <c r="J60" s="1"/>
      <c r="K60" s="4"/>
      <c r="L60" s="4"/>
      <c r="M60" s="4"/>
      <c r="N60" s="4"/>
      <c r="O60" s="4"/>
      <c r="P60" s="4"/>
      <c r="Q60" s="4"/>
    </row>
    <row r="61" spans="1:17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 spans="1:17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 spans="1:17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 spans="1:17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 spans="1:17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 spans="1:17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spans="1:1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 spans="1:17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 spans="1:17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 spans="1:17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 spans="1:17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 spans="1:17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 spans="1:17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 spans="1:17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 spans="1:17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 spans="1:17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 spans="1:1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 spans="1:17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 spans="1:17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 spans="1:17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 spans="1:17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</row>
    <row r="82" spans="1:17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</row>
    <row r="83" spans="1:17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</row>
    <row r="84" spans="1:17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</row>
    <row r="85" spans="1:17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 spans="1:17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 spans="1:1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 spans="1:17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 spans="1:17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 spans="1:17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 spans="1:17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</row>
    <row r="92" spans="1:17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 spans="1:17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</row>
    <row r="94" spans="1:17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 spans="1:17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</row>
    <row r="96" spans="1:17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 spans="1:1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</row>
    <row r="98" spans="1:17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99" spans="1:17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</row>
    <row r="100" spans="1:17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</row>
    <row r="101" spans="1:17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</row>
    <row r="102" spans="1:17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</row>
    <row r="103" spans="1:17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</row>
    <row r="104" spans="1:17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</row>
    <row r="105" spans="1:17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</row>
    <row r="106" spans="1:17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</row>
    <row r="107" spans="1:1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</row>
    <row r="108" spans="1:17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</row>
    <row r="109" spans="1:17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</row>
    <row r="110" spans="1:17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</row>
    <row r="111" spans="1:17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</row>
    <row r="112" spans="1:17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</row>
    <row r="113" spans="1:17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</row>
    <row r="114" spans="1:17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</row>
    <row r="115" spans="1:17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</row>
    <row r="116" spans="1:17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</row>
    <row r="117" spans="1: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</row>
    <row r="118" spans="1:17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</row>
    <row r="119" spans="1:17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</row>
    <row r="120" spans="1:17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</row>
    <row r="121" spans="1:17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</row>
    <row r="122" spans="1:17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</row>
    <row r="123" spans="1:17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</row>
    <row r="124" spans="1:17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</row>
    <row r="125" spans="1:17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</row>
    <row r="126" spans="1:17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</row>
    <row r="127" spans="1:1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</row>
    <row r="128" spans="1:17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</row>
    <row r="129" spans="1:17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</row>
    <row r="130" spans="1:17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</row>
    <row r="131" spans="1:17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</row>
    <row r="132" spans="1:17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</row>
    <row r="133" spans="1:17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</row>
    <row r="134" spans="1:17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</row>
    <row r="135" spans="1:17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</row>
    <row r="136" spans="1:17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</row>
    <row r="137" spans="1:1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</row>
    <row r="138" spans="1:17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</row>
    <row r="139" spans="1:17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</row>
    <row r="140" spans="1:17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</row>
    <row r="141" spans="1:17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</row>
    <row r="142" spans="1:17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</row>
    <row r="143" spans="1:17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</row>
    <row r="144" spans="1:17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</row>
    <row r="145" spans="1:17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</row>
    <row r="146" spans="1:17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</row>
    <row r="147" spans="1:1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</row>
    <row r="148" spans="1:17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</row>
    <row r="149" spans="1:17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</row>
    <row r="150" spans="1:17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 spans="1:17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</row>
    <row r="152" spans="1:17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 spans="1:17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</row>
    <row r="154" spans="1:17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 spans="1:17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</row>
    <row r="156" spans="1:17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 spans="1:1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</row>
    <row r="158" spans="1:17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</row>
    <row r="159" spans="1:17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</row>
    <row r="160" spans="1:17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  <row r="161" spans="1:17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</row>
    <row r="162" spans="1:17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</row>
    <row r="163" spans="1:17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</row>
    <row r="164" spans="1:17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 spans="1:17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 spans="1:17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  <row r="167" spans="1:1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</row>
    <row r="168" spans="1:17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</row>
    <row r="169" spans="1:17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</row>
    <row r="170" spans="1:17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</row>
    <row r="171" spans="1:17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</row>
    <row r="172" spans="1:17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</row>
    <row r="173" spans="1:17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</row>
    <row r="174" spans="1:17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 spans="1:17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</row>
    <row r="176" spans="1:17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</row>
    <row r="177" spans="1:1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</row>
    <row r="178" spans="1:17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 spans="1:17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0" spans="1:17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 spans="1:17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 spans="1:17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 spans="1:17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 spans="1:17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 spans="1:17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 spans="1:17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 spans="1:1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 spans="1:17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 spans="1:17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 spans="1:17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 spans="1:17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 spans="1:17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 spans="1:17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 spans="1:17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 spans="1:17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 spans="1:17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 spans="1:1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 spans="1:17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 spans="1:17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 spans="1:17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 spans="1:17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2" spans="1:17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3" spans="1:17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 spans="1:17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5" spans="1:17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</row>
    <row r="206" spans="1:17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</row>
    <row r="207" spans="1:1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</row>
    <row r="208" spans="1:17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</row>
    <row r="209" spans="1:17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</row>
    <row r="210" spans="1:17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</row>
    <row r="211" spans="1:17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 spans="1:17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 spans="1:17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 spans="1:17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 spans="1:17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 spans="1:17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 spans="1: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</row>
    <row r="218" spans="1:17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</row>
    <row r="219" spans="1:17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</row>
    <row r="220" spans="1:17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 spans="1:17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 spans="1:17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 spans="1:17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 spans="1:17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 spans="1:17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 spans="1:17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 spans="1:1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</row>
    <row r="228" spans="1:17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 spans="1:17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 spans="1:17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</row>
    <row r="231" spans="1:17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 spans="1:17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 spans="1:17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 spans="1:17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 spans="1:17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 spans="1:17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 spans="1:17" ht="15.75" customHeight="1"/>
    <row r="238" spans="1:17" ht="15.75" customHeight="1"/>
    <row r="239" spans="1:17" ht="15.75" customHeight="1"/>
    <row r="240" spans="1:17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98">
    <mergeCell ref="A51:B51"/>
    <mergeCell ref="C51:D51"/>
    <mergeCell ref="E51:F51"/>
    <mergeCell ref="G51:H51"/>
    <mergeCell ref="I51:J51"/>
    <mergeCell ref="A49:B49"/>
    <mergeCell ref="C49:D49"/>
    <mergeCell ref="E49:F49"/>
    <mergeCell ref="G49:H49"/>
    <mergeCell ref="I49:J49"/>
    <mergeCell ref="A50:B50"/>
    <mergeCell ref="C50:D50"/>
    <mergeCell ref="E50:F50"/>
    <mergeCell ref="G50:H50"/>
    <mergeCell ref="I50:J50"/>
    <mergeCell ref="A47:B47"/>
    <mergeCell ref="C47:D47"/>
    <mergeCell ref="E47:F47"/>
    <mergeCell ref="G47:H47"/>
    <mergeCell ref="I47:J47"/>
    <mergeCell ref="A48:B48"/>
    <mergeCell ref="C48:D48"/>
    <mergeCell ref="E48:F48"/>
    <mergeCell ref="G48:H48"/>
    <mergeCell ref="I48:J48"/>
    <mergeCell ref="A46:J46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36:J36"/>
    <mergeCell ref="A38:B38"/>
    <mergeCell ref="C38:D38"/>
    <mergeCell ref="E38:F38"/>
    <mergeCell ref="G38:H38"/>
    <mergeCell ref="I38:J38"/>
    <mergeCell ref="A34:B34"/>
    <mergeCell ref="C34:D34"/>
    <mergeCell ref="E34:F34"/>
    <mergeCell ref="G34:H34"/>
    <mergeCell ref="I34:J34"/>
    <mergeCell ref="A35:B35"/>
    <mergeCell ref="C35:D35"/>
    <mergeCell ref="E35:F35"/>
    <mergeCell ref="G35:H35"/>
    <mergeCell ref="I35:J35"/>
    <mergeCell ref="A32:B32"/>
    <mergeCell ref="C32:D32"/>
    <mergeCell ref="E32:F32"/>
    <mergeCell ref="G32:H32"/>
    <mergeCell ref="I32:J32"/>
    <mergeCell ref="A33:B33"/>
    <mergeCell ref="C33:D33"/>
    <mergeCell ref="E33:F33"/>
    <mergeCell ref="G33:H33"/>
    <mergeCell ref="I33:J33"/>
    <mergeCell ref="A25:J25"/>
    <mergeCell ref="A26:J27"/>
    <mergeCell ref="A28:F28"/>
    <mergeCell ref="A30:J30"/>
    <mergeCell ref="A31:B31"/>
    <mergeCell ref="C31:D31"/>
    <mergeCell ref="E31:F31"/>
    <mergeCell ref="G31:H31"/>
    <mergeCell ref="I31:J31"/>
    <mergeCell ref="A24:J24"/>
    <mergeCell ref="G4:I4"/>
    <mergeCell ref="A6:J6"/>
    <mergeCell ref="A7:J7"/>
    <mergeCell ref="A8:A9"/>
    <mergeCell ref="C8:D8"/>
    <mergeCell ref="E8:J8"/>
    <mergeCell ref="A23:B23"/>
    <mergeCell ref="C23:D23"/>
    <mergeCell ref="E23:F23"/>
    <mergeCell ref="G23:H23"/>
    <mergeCell ref="I23:J23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Суп карт. з галушками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Жемчужина</cp:lastModifiedBy>
  <dcterms:created xsi:type="dcterms:W3CDTF">2022-02-18T07:55:17Z</dcterms:created>
  <dcterms:modified xsi:type="dcterms:W3CDTF">2026-07-23T11:37:29Z</dcterms:modified>
</cp:coreProperties>
</file>