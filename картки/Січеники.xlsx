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Січеники" sheetId="1" r:id="rId1"/>
  </sheets>
  <calcPr calcId="18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1"/>
  <c r="J11"/>
  <c r="J12"/>
  <c r="J13"/>
  <c r="J14"/>
  <c r="J15"/>
  <c r="J16"/>
  <c r="J17"/>
  <c r="J18"/>
  <c r="J10"/>
  <c r="I11"/>
  <c r="I12"/>
  <c r="I13"/>
  <c r="I15"/>
  <c r="I16"/>
  <c r="I17"/>
  <c r="I10"/>
  <c r="H11"/>
  <c r="H12"/>
  <c r="H13"/>
  <c r="H14"/>
  <c r="H15"/>
  <c r="H16"/>
  <c r="H17"/>
  <c r="H18"/>
  <c r="G11"/>
  <c r="G12"/>
  <c r="G13"/>
  <c r="G15"/>
  <c r="G16"/>
  <c r="G17"/>
  <c r="F11"/>
  <c r="F12"/>
  <c r="F13"/>
  <c r="F14"/>
  <c r="F15"/>
  <c r="F16"/>
  <c r="F17"/>
  <c r="F18"/>
  <c r="E11"/>
  <c r="E12"/>
  <c r="E13"/>
  <c r="E15"/>
  <c r="E16"/>
  <c r="E17"/>
  <c r="F10"/>
  <c r="E10"/>
  <c r="H10" l="1"/>
</calcChain>
</file>

<file path=xl/sharedStrings.xml><?xml version="1.0" encoding="utf-8"?>
<sst xmlns="http://schemas.openxmlformats.org/spreadsheetml/2006/main" count="43" uniqueCount="36">
  <si>
    <t>ЗАТВЕРДЖУЮ</t>
  </si>
  <si>
    <t xml:space="preserve">Директор </t>
  </si>
  <si>
    <t>______________________</t>
  </si>
  <si>
    <t>_____________ 2022р.</t>
  </si>
  <si>
    <t xml:space="preserve">             Технологічна карта № </t>
  </si>
  <si>
    <t>№ з/п</t>
  </si>
  <si>
    <t>Найменування сировини</t>
  </si>
  <si>
    <t>Маса, г</t>
  </si>
  <si>
    <t xml:space="preserve">Норма вмісту на 1 порцію, г </t>
  </si>
  <si>
    <t>брутто, г</t>
  </si>
  <si>
    <t>нетто, г</t>
  </si>
  <si>
    <t>Сіль йодована</t>
  </si>
  <si>
    <t>Маса напівфабрикатів</t>
  </si>
  <si>
    <t>Вихід готової страви, г</t>
  </si>
  <si>
    <t>Харчові продукти і продовольча сировина, з яких виготовляються готові страви, відповідають вимогам чинних нормативно-правових актів України щодо показників якості та безпеки харчових продуктів, упаковки, маркування, транспортування, приймання і зберігання.</t>
  </si>
  <si>
    <t>Технологія приготування страви</t>
  </si>
  <si>
    <t>Термін придатності до споживання та умови зберігання</t>
  </si>
  <si>
    <t xml:space="preserve">Термін реалізації - 2 години. Температура подачі +65°C                   </t>
  </si>
  <si>
    <t xml:space="preserve">ХАРЧОВА (ПОЖИВНА) ТА ЕНЕРГЕТИЧНА ЦІННІСТЬ (КАЛОРІЙНІСТЬ) 1 ПОРЦІЇ: </t>
  </si>
  <si>
    <t>Маса порції, г</t>
  </si>
  <si>
    <t>Білки, г</t>
  </si>
  <si>
    <t>Жири, г</t>
  </si>
  <si>
    <t>Вуглеводи, г</t>
  </si>
  <si>
    <t>Енергетична цінність, ккал</t>
  </si>
  <si>
    <t>Січеники</t>
  </si>
  <si>
    <t>Державна установа "Інститут громадського здоров'я"</t>
  </si>
  <si>
    <t>Т.к. № 5.07</t>
  </si>
  <si>
    <t>Яловичина великими шматками</t>
  </si>
  <si>
    <t>Свинина великими шматками</t>
  </si>
  <si>
    <t>Цибуля ріпчаста</t>
  </si>
  <si>
    <t>Панірувальні сухарі (Г)</t>
  </si>
  <si>
    <t>Яйця курячі (Я)</t>
  </si>
  <si>
    <t>1 шт.</t>
  </si>
  <si>
    <t>Хмелі-сунелі</t>
  </si>
  <si>
    <t>Олія соняшникова для деко</t>
  </si>
  <si>
    <r>
      <t xml:space="preserve">М'ясо свинини та яловичини подрібнити та підготовлену цибулю, перемолоти на м'ясорубку або посікти. Додати до фаршу яйця, спеції, сіль. Фарш ретельно перемішатти і вибити. Готову котлетну масу порціонують, обкачують у сухарях і надають овально-приплюснутою форми з загостреним кінцем ( котлети) товщиною 2,0-2,5 см., 10-12 см завширшки. Сформовані напівфабрикати викласти на змащений олією лист. Запікати у жаровій шафі при температурі 180 </t>
    </r>
    <r>
      <rPr>
        <sz val="12"/>
        <color rgb="FF000000"/>
        <rFont val="Calibri"/>
        <family val="2"/>
        <charset val="204"/>
      </rPr>
      <t>⁰</t>
    </r>
    <r>
      <rPr>
        <sz val="12"/>
        <color rgb="FF000000"/>
        <rFont val="Times New Roman"/>
        <family val="1"/>
        <charset val="204"/>
      </rPr>
      <t xml:space="preserve">С, 20-25 хв. до появи золотистої скоринки.  </t>
    </r>
    <r>
      <rPr>
        <b/>
        <sz val="12"/>
        <color rgb="FF000000"/>
        <rFont val="Times New Roman"/>
        <family val="1"/>
        <charset val="204"/>
      </rPr>
      <t xml:space="preserve">                Характеристика готової страви.                        </t>
    </r>
    <r>
      <rPr>
        <sz val="12"/>
        <color rgb="FF000000"/>
        <rFont val="Times New Roman"/>
        <family val="1"/>
        <charset val="204"/>
      </rPr>
      <t xml:space="preserve">                           </t>
    </r>
    <r>
      <rPr>
        <b/>
        <sz val="12"/>
        <color rgb="FF000000"/>
        <rFont val="Times New Roman"/>
        <family val="1"/>
        <charset val="204"/>
      </rPr>
      <t xml:space="preserve"> Зовнішний вигляд</t>
    </r>
    <r>
      <rPr>
        <sz val="12"/>
        <color rgb="FF000000"/>
        <rFont val="Times New Roman"/>
        <family val="1"/>
        <charset val="204"/>
      </rPr>
      <t xml:space="preserve">- котлети зберігають форму, не допускається відставання паніровки, на поверхні румяна кірочка без тріщин . Колір- на розрізі світлий, або темно-сірий.   Смак і запах - у міру солоний з ароматом спецій, без присмаку хліба. .  Консістенція - на розрізі світлий або темно-сірий. </t>
    </r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</si>
</sst>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0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rgb="FF98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7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7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15" xfId="0" applyFont="1" applyBorder="1"/>
    <xf numFmtId="0" fontId="5" fillId="0" borderId="16" xfId="0" applyFont="1" applyBorder="1" applyAlignment="1">
      <alignment vertical="top"/>
    </xf>
    <xf numFmtId="0" fontId="2" fillId="0" borderId="0" xfId="0" applyFont="1" applyBorder="1" applyAlignment="1">
      <alignment horizontal="left" vertical="center"/>
    </xf>
    <xf numFmtId="164" fontId="5" fillId="0" borderId="18" xfId="0" applyNumberFormat="1" applyFont="1" applyBorder="1" applyAlignment="1">
      <alignment horizontal="center" vertical="top"/>
    </xf>
    <xf numFmtId="164" fontId="5" fillId="0" borderId="19" xfId="0" applyNumberFormat="1" applyFont="1" applyBorder="1" applyAlignment="1">
      <alignment horizontal="center" vertical="top"/>
    </xf>
    <xf numFmtId="164" fontId="1" fillId="0" borderId="19" xfId="0" applyNumberFormat="1" applyFont="1" applyBorder="1" applyAlignment="1">
      <alignment horizontal="center" vertical="top"/>
    </xf>
    <xf numFmtId="164" fontId="5" fillId="0" borderId="20" xfId="0" applyNumberFormat="1" applyFont="1" applyBorder="1" applyAlignment="1">
      <alignment horizontal="center" vertical="top"/>
    </xf>
    <xf numFmtId="0" fontId="2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5" fillId="0" borderId="26" xfId="0" applyNumberFormat="1" applyFont="1" applyBorder="1" applyAlignment="1">
      <alignment horizontal="center" vertical="top"/>
    </xf>
    <xf numFmtId="164" fontId="5" fillId="0" borderId="15" xfId="0" applyNumberFormat="1" applyFont="1" applyBorder="1" applyAlignment="1">
      <alignment horizontal="center" vertical="top"/>
    </xf>
    <xf numFmtId="164" fontId="1" fillId="0" borderId="27" xfId="0" applyNumberFormat="1" applyFont="1" applyBorder="1" applyAlignment="1">
      <alignment horizontal="center" vertical="top"/>
    </xf>
    <xf numFmtId="164" fontId="5" fillId="0" borderId="7" xfId="0" applyNumberFormat="1" applyFont="1" applyBorder="1" applyAlignment="1">
      <alignment horizontal="center" vertical="top"/>
    </xf>
    <xf numFmtId="0" fontId="2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164" fontId="1" fillId="0" borderId="33" xfId="0" applyNumberFormat="1" applyFont="1" applyBorder="1" applyAlignment="1">
      <alignment horizontal="center"/>
    </xf>
    <xf numFmtId="164" fontId="1" fillId="0" borderId="34" xfId="0" applyNumberFormat="1" applyFont="1" applyBorder="1" applyAlignment="1">
      <alignment horizontal="center"/>
    </xf>
    <xf numFmtId="164" fontId="1" fillId="0" borderId="35" xfId="0" applyNumberFormat="1" applyFont="1" applyBorder="1" applyAlignment="1">
      <alignment horizontal="center"/>
    </xf>
    <xf numFmtId="164" fontId="2" fillId="0" borderId="36" xfId="0" applyNumberFormat="1" applyFont="1" applyBorder="1" applyAlignment="1">
      <alignment horizontal="center"/>
    </xf>
    <xf numFmtId="164" fontId="2" fillId="0" borderId="3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3" fillId="0" borderId="12" xfId="0" applyFont="1" applyBorder="1"/>
    <xf numFmtId="0" fontId="2" fillId="0" borderId="6" xfId="0" applyFont="1" applyBorder="1" applyAlignment="1">
      <alignment horizontal="center" vertical="center"/>
    </xf>
    <xf numFmtId="0" fontId="3" fillId="0" borderId="6" xfId="0" applyFont="1" applyBorder="1"/>
    <xf numFmtId="0" fontId="2" fillId="0" borderId="23" xfId="0" applyFont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0" fontId="2" fillId="0" borderId="8" xfId="0" applyFont="1" applyBorder="1" applyAlignment="1">
      <alignment horizontal="left" vertical="center"/>
    </xf>
    <xf numFmtId="0" fontId="3" fillId="0" borderId="2" xfId="0" applyFont="1" applyBorder="1"/>
    <xf numFmtId="0" fontId="2" fillId="0" borderId="8" xfId="0" applyFont="1" applyBorder="1" applyAlignment="1">
      <alignment horizontal="center" vertical="center"/>
    </xf>
    <xf numFmtId="0" fontId="3" fillId="0" borderId="17" xfId="0" applyFont="1" applyBorder="1"/>
    <xf numFmtId="0" fontId="2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9" fillId="0" borderId="4" xfId="0" applyFont="1" applyBorder="1" applyAlignment="1">
      <alignment horizontal="left" wrapText="1"/>
    </xf>
    <xf numFmtId="0" fontId="3" fillId="0" borderId="4" xfId="0" applyFont="1" applyBorder="1"/>
    <xf numFmtId="0" fontId="5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FF00"/>
  </sheetPr>
  <dimension ref="A1:U993"/>
  <sheetViews>
    <sheetView tabSelected="1" workbookViewId="0">
      <selection activeCell="O7" sqref="O7"/>
    </sheetView>
  </sheetViews>
  <sheetFormatPr defaultColWidth="14.42578125" defaultRowHeight="15" customHeight="1"/>
  <cols>
    <col min="1" max="1" width="4.42578125" customWidth="1"/>
    <col min="2" max="2" width="52.7109375" customWidth="1"/>
    <col min="3" max="4" width="8.140625" customWidth="1"/>
    <col min="5" max="5" width="8.42578125" customWidth="1"/>
    <col min="6" max="8" width="8.140625" customWidth="1"/>
    <col min="9" max="10" width="8.42578125" customWidth="1"/>
    <col min="11" max="21" width="8" customWidth="1"/>
  </cols>
  <sheetData>
    <row r="1" spans="1:21" ht="18" customHeight="1">
      <c r="A1" s="1"/>
      <c r="B1" s="1" t="s">
        <v>25</v>
      </c>
      <c r="C1" s="1"/>
      <c r="D1" s="1"/>
      <c r="E1" s="1"/>
      <c r="F1" s="2" t="s">
        <v>0</v>
      </c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>
      <c r="A2" s="1"/>
      <c r="B2" s="1" t="s">
        <v>26</v>
      </c>
      <c r="C2" s="1"/>
      <c r="D2" s="1"/>
      <c r="E2" s="1"/>
      <c r="F2" s="2" t="s">
        <v>1</v>
      </c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>
      <c r="A3" s="1"/>
      <c r="B3" s="1"/>
      <c r="C3" s="1"/>
      <c r="D3" s="1"/>
      <c r="E3" s="1"/>
      <c r="F3" s="2" t="s">
        <v>2</v>
      </c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>
      <c r="A4" s="1"/>
      <c r="B4" s="1"/>
      <c r="C4" s="1"/>
      <c r="D4" s="1"/>
      <c r="E4" s="1"/>
      <c r="F4" s="2" t="s">
        <v>2</v>
      </c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>
      <c r="A5" s="1"/>
      <c r="B5" s="1"/>
      <c r="C5" s="1"/>
      <c r="D5" s="1"/>
      <c r="E5" s="1"/>
      <c r="F5" s="2" t="s">
        <v>3</v>
      </c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>
      <c r="A6" s="38" t="s">
        <v>4</v>
      </c>
      <c r="B6" s="39"/>
      <c r="C6" s="39"/>
      <c r="D6" s="39"/>
      <c r="E6" s="39"/>
      <c r="F6" s="39"/>
      <c r="G6" s="39"/>
      <c r="H6" s="39"/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20.25" customHeight="1" thickBot="1">
      <c r="A7" s="40" t="s">
        <v>24</v>
      </c>
      <c r="B7" s="39"/>
      <c r="C7" s="39"/>
      <c r="D7" s="39"/>
      <c r="E7" s="39"/>
      <c r="F7" s="39"/>
      <c r="G7" s="39"/>
      <c r="H7" s="39"/>
      <c r="I7" s="39"/>
      <c r="J7" s="39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6.5" customHeight="1" thickBot="1">
      <c r="A8" s="41" t="s">
        <v>5</v>
      </c>
      <c r="B8" s="13" t="s">
        <v>6</v>
      </c>
      <c r="C8" s="43" t="s">
        <v>7</v>
      </c>
      <c r="D8" s="44"/>
      <c r="E8" s="45" t="s">
        <v>8</v>
      </c>
      <c r="F8" s="46"/>
      <c r="G8" s="46"/>
      <c r="H8" s="46"/>
      <c r="I8" s="46"/>
      <c r="J8" s="47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8" customHeight="1" thickBot="1">
      <c r="A9" s="42"/>
      <c r="B9" s="14"/>
      <c r="C9" s="12" t="s">
        <v>9</v>
      </c>
      <c r="D9" s="4" t="s">
        <v>10</v>
      </c>
      <c r="E9" s="29" t="s">
        <v>9</v>
      </c>
      <c r="F9" s="23" t="s">
        <v>10</v>
      </c>
      <c r="G9" s="23" t="s">
        <v>9</v>
      </c>
      <c r="H9" s="23" t="s">
        <v>10</v>
      </c>
      <c r="I9" s="23" t="s">
        <v>9</v>
      </c>
      <c r="J9" s="30" t="s">
        <v>10</v>
      </c>
      <c r="K9" s="1"/>
      <c r="L9" s="1"/>
      <c r="M9" s="1"/>
      <c r="N9" s="1"/>
      <c r="O9" s="1"/>
      <c r="P9" s="1"/>
      <c r="Q9" s="1"/>
    </row>
    <row r="10" spans="1:21" ht="18.75" customHeight="1">
      <c r="A10" s="9">
        <v>1</v>
      </c>
      <c r="B10" s="8" t="s">
        <v>27</v>
      </c>
      <c r="C10" s="18">
        <v>623.1</v>
      </c>
      <c r="D10" s="24">
        <v>620</v>
      </c>
      <c r="E10" s="31">
        <f>C10*120/1000</f>
        <v>74.772000000000006</v>
      </c>
      <c r="F10" s="32">
        <f>D10*120/1000</f>
        <v>74.400000000000006</v>
      </c>
      <c r="G10" s="31">
        <f>C10*100/1000</f>
        <v>62.31</v>
      </c>
      <c r="H10" s="32">
        <f>D10*100/1000</f>
        <v>62</v>
      </c>
      <c r="I10" s="31">
        <f>C10*70/1000</f>
        <v>43.616999999999997</v>
      </c>
      <c r="J10" s="32">
        <f>D10*70/1000</f>
        <v>43.4</v>
      </c>
      <c r="K10" s="1"/>
      <c r="L10" s="1"/>
      <c r="M10" s="1"/>
      <c r="N10" s="1"/>
      <c r="O10" s="1"/>
      <c r="P10" s="1"/>
      <c r="Q10" s="1"/>
    </row>
    <row r="11" spans="1:21" ht="18.75" customHeight="1">
      <c r="A11" s="10">
        <v>2</v>
      </c>
      <c r="B11" s="8" t="s">
        <v>28</v>
      </c>
      <c r="C11" s="19">
        <v>401.2</v>
      </c>
      <c r="D11" s="25">
        <v>400</v>
      </c>
      <c r="E11" s="33">
        <f t="shared" ref="E11:E17" si="0">C11*120/1000</f>
        <v>48.143999999999998</v>
      </c>
      <c r="F11" s="34">
        <f t="shared" ref="F11:F18" si="1">D11*120/1000</f>
        <v>48</v>
      </c>
      <c r="G11" s="33">
        <f t="shared" ref="G11:G17" si="2">C11*100/1000</f>
        <v>40.119999999999997</v>
      </c>
      <c r="H11" s="34">
        <f t="shared" ref="H11:H18" si="3">D11*100/1000</f>
        <v>40</v>
      </c>
      <c r="I11" s="33">
        <f t="shared" ref="I11:I17" si="4">C11*70/1000</f>
        <v>28.084</v>
      </c>
      <c r="J11" s="34">
        <f t="shared" ref="J11:J18" si="5">D11*70/1000</f>
        <v>28</v>
      </c>
      <c r="K11" s="1"/>
      <c r="L11" s="1"/>
      <c r="M11" s="1"/>
    </row>
    <row r="12" spans="1:21" s="3" customFormat="1" ht="18.75" customHeight="1">
      <c r="A12" s="10">
        <v>3</v>
      </c>
      <c r="B12" s="8" t="s">
        <v>29</v>
      </c>
      <c r="C12" s="19">
        <v>179</v>
      </c>
      <c r="D12" s="25">
        <v>150</v>
      </c>
      <c r="E12" s="33">
        <f t="shared" si="0"/>
        <v>21.48</v>
      </c>
      <c r="F12" s="34">
        <f t="shared" si="1"/>
        <v>18</v>
      </c>
      <c r="G12" s="33">
        <f t="shared" si="2"/>
        <v>17.899999999999999</v>
      </c>
      <c r="H12" s="34">
        <f t="shared" si="3"/>
        <v>15</v>
      </c>
      <c r="I12" s="33">
        <f t="shared" si="4"/>
        <v>12.53</v>
      </c>
      <c r="J12" s="34">
        <f t="shared" si="5"/>
        <v>10.5</v>
      </c>
      <c r="K12" s="1"/>
      <c r="L12" s="1"/>
      <c r="M12" s="1"/>
    </row>
    <row r="13" spans="1:21" s="3" customFormat="1" ht="18.75" customHeight="1">
      <c r="A13" s="10">
        <v>4</v>
      </c>
      <c r="B13" s="8" t="s">
        <v>30</v>
      </c>
      <c r="C13" s="19">
        <v>100</v>
      </c>
      <c r="D13" s="25">
        <v>100</v>
      </c>
      <c r="E13" s="33">
        <f t="shared" si="0"/>
        <v>12</v>
      </c>
      <c r="F13" s="34">
        <f t="shared" si="1"/>
        <v>12</v>
      </c>
      <c r="G13" s="33">
        <f t="shared" si="2"/>
        <v>10</v>
      </c>
      <c r="H13" s="34">
        <f t="shared" si="3"/>
        <v>10</v>
      </c>
      <c r="I13" s="33">
        <f t="shared" si="4"/>
        <v>7</v>
      </c>
      <c r="J13" s="34">
        <f t="shared" si="5"/>
        <v>7</v>
      </c>
      <c r="K13" s="1"/>
      <c r="L13" s="1"/>
      <c r="M13" s="1"/>
    </row>
    <row r="14" spans="1:21" s="3" customFormat="1" ht="18.75" customHeight="1">
      <c r="A14" s="10">
        <v>5</v>
      </c>
      <c r="B14" s="8" t="s">
        <v>31</v>
      </c>
      <c r="C14" s="19" t="s">
        <v>32</v>
      </c>
      <c r="D14" s="25">
        <v>40</v>
      </c>
      <c r="E14" s="33"/>
      <c r="F14" s="34">
        <f t="shared" si="1"/>
        <v>4.8</v>
      </c>
      <c r="G14" s="33"/>
      <c r="H14" s="34">
        <f t="shared" si="3"/>
        <v>4</v>
      </c>
      <c r="I14" s="33"/>
      <c r="J14" s="34">
        <f t="shared" si="5"/>
        <v>2.8</v>
      </c>
      <c r="K14" s="1"/>
      <c r="L14" s="1"/>
      <c r="M14" s="1"/>
    </row>
    <row r="15" spans="1:21" ht="18" customHeight="1">
      <c r="A15" s="10">
        <v>6</v>
      </c>
      <c r="B15" s="15" t="s">
        <v>33</v>
      </c>
      <c r="C15" s="20">
        <v>1.5</v>
      </c>
      <c r="D15" s="26">
        <v>1.5</v>
      </c>
      <c r="E15" s="33">
        <f t="shared" si="0"/>
        <v>0.18</v>
      </c>
      <c r="F15" s="34">
        <f t="shared" si="1"/>
        <v>0.18</v>
      </c>
      <c r="G15" s="33">
        <f t="shared" si="2"/>
        <v>0.15</v>
      </c>
      <c r="H15" s="34">
        <f t="shared" si="3"/>
        <v>0.15</v>
      </c>
      <c r="I15" s="33">
        <f t="shared" si="4"/>
        <v>0.105</v>
      </c>
      <c r="J15" s="34">
        <f t="shared" si="5"/>
        <v>0.105</v>
      </c>
      <c r="K15" s="5"/>
      <c r="L15" s="5"/>
      <c r="M15" s="5"/>
      <c r="N15" s="5"/>
      <c r="O15" s="5"/>
      <c r="P15" s="5"/>
    </row>
    <row r="16" spans="1:21" ht="18" customHeight="1">
      <c r="A16" s="10">
        <v>7</v>
      </c>
      <c r="B16" s="16" t="s">
        <v>11</v>
      </c>
      <c r="C16" s="21">
        <v>3</v>
      </c>
      <c r="D16" s="27">
        <v>3</v>
      </c>
      <c r="E16" s="33">
        <f t="shared" si="0"/>
        <v>0.36</v>
      </c>
      <c r="F16" s="34">
        <f t="shared" si="1"/>
        <v>0.36</v>
      </c>
      <c r="G16" s="33">
        <f t="shared" si="2"/>
        <v>0.3</v>
      </c>
      <c r="H16" s="34">
        <f t="shared" si="3"/>
        <v>0.3</v>
      </c>
      <c r="I16" s="33">
        <f t="shared" si="4"/>
        <v>0.21</v>
      </c>
      <c r="J16" s="34">
        <f t="shared" si="5"/>
        <v>0.21</v>
      </c>
      <c r="K16" s="1"/>
      <c r="L16" s="1"/>
      <c r="M16" s="1"/>
      <c r="N16" s="1"/>
      <c r="O16" s="1"/>
      <c r="P16" s="1"/>
      <c r="Q16" s="1"/>
    </row>
    <row r="17" spans="1:21" ht="18.75" customHeight="1">
      <c r="A17" s="10">
        <v>8</v>
      </c>
      <c r="B17" s="16" t="s">
        <v>34</v>
      </c>
      <c r="C17" s="21">
        <v>15</v>
      </c>
      <c r="D17" s="27">
        <v>15</v>
      </c>
      <c r="E17" s="33">
        <f t="shared" si="0"/>
        <v>1.8</v>
      </c>
      <c r="F17" s="34">
        <f t="shared" si="1"/>
        <v>1.8</v>
      </c>
      <c r="G17" s="33">
        <f t="shared" si="2"/>
        <v>1.5</v>
      </c>
      <c r="H17" s="34">
        <f t="shared" si="3"/>
        <v>1.5</v>
      </c>
      <c r="I17" s="33">
        <f t="shared" si="4"/>
        <v>1.05</v>
      </c>
      <c r="J17" s="34">
        <f t="shared" si="5"/>
        <v>1.05</v>
      </c>
      <c r="K17" s="1"/>
      <c r="L17" s="1"/>
      <c r="M17" s="1"/>
      <c r="N17" s="1"/>
      <c r="O17" s="1"/>
      <c r="P17" s="1"/>
      <c r="Q17" s="1"/>
    </row>
    <row r="18" spans="1:21" ht="19.5" customHeight="1" thickBot="1">
      <c r="A18" s="11"/>
      <c r="B18" s="17" t="s">
        <v>12</v>
      </c>
      <c r="C18" s="22"/>
      <c r="D18" s="28">
        <v>1320</v>
      </c>
      <c r="E18" s="35"/>
      <c r="F18" s="36">
        <f t="shared" si="1"/>
        <v>158.4</v>
      </c>
      <c r="G18" s="37"/>
      <c r="H18" s="36">
        <f t="shared" si="3"/>
        <v>132</v>
      </c>
      <c r="I18" s="37"/>
      <c r="J18" s="36">
        <f t="shared" si="5"/>
        <v>92.4</v>
      </c>
      <c r="K18" s="1"/>
      <c r="L18" s="1"/>
      <c r="M18" s="1"/>
      <c r="N18" s="1"/>
      <c r="O18" s="1"/>
      <c r="P18" s="1"/>
      <c r="Q18" s="1"/>
    </row>
    <row r="19" spans="1:21" ht="19.5" customHeight="1" thickBot="1">
      <c r="A19" s="48" t="s">
        <v>13</v>
      </c>
      <c r="B19" s="49"/>
      <c r="C19" s="50">
        <v>1000</v>
      </c>
      <c r="D19" s="51"/>
      <c r="E19" s="52">
        <v>120</v>
      </c>
      <c r="F19" s="51"/>
      <c r="G19" s="54">
        <v>100</v>
      </c>
      <c r="H19" s="55"/>
      <c r="I19" s="50">
        <v>70</v>
      </c>
      <c r="J19" s="53"/>
      <c r="K19" s="1"/>
      <c r="L19" s="1"/>
      <c r="M19" s="1"/>
      <c r="N19" s="1"/>
      <c r="O19" s="1"/>
      <c r="P19" s="1"/>
      <c r="Q19" s="1"/>
    </row>
    <row r="20" spans="1:21" ht="44.25" customHeight="1">
      <c r="A20" s="56" t="s">
        <v>14</v>
      </c>
      <c r="B20" s="57"/>
      <c r="C20" s="57"/>
      <c r="D20" s="57"/>
      <c r="E20" s="57"/>
      <c r="F20" s="57"/>
      <c r="G20" s="57"/>
      <c r="H20" s="57"/>
      <c r="I20" s="57"/>
      <c r="J20" s="5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8.75" customHeight="1">
      <c r="A21" s="38" t="s">
        <v>15</v>
      </c>
      <c r="B21" s="39"/>
      <c r="C21" s="39"/>
      <c r="D21" s="39"/>
      <c r="E21" s="39"/>
      <c r="F21" s="39"/>
      <c r="G21" s="39"/>
      <c r="H21" s="39"/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48" customHeight="1">
      <c r="A22" s="58" t="s">
        <v>35</v>
      </c>
      <c r="B22" s="39"/>
      <c r="C22" s="39"/>
      <c r="D22" s="39"/>
      <c r="E22" s="39"/>
      <c r="F22" s="39"/>
      <c r="G22" s="39"/>
      <c r="H22" s="39"/>
      <c r="I22" s="39"/>
      <c r="J22" s="3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07.4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8.75" customHeight="1">
      <c r="A24" s="59" t="s">
        <v>16</v>
      </c>
      <c r="B24" s="39"/>
      <c r="C24" s="39"/>
      <c r="D24" s="39"/>
      <c r="E24" s="39"/>
      <c r="F24" s="39"/>
      <c r="I24" s="6"/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34.5" customHeight="1">
      <c r="A25" s="60" t="s">
        <v>17</v>
      </c>
      <c r="B25" s="39"/>
      <c r="C25" s="39"/>
      <c r="D25" s="39"/>
      <c r="E25" s="39"/>
      <c r="F25" s="39"/>
      <c r="G25" s="39"/>
      <c r="H25" s="39"/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9.5" customHeight="1" thickBot="1">
      <c r="A26" s="38" t="s">
        <v>18</v>
      </c>
      <c r="B26" s="39"/>
      <c r="C26" s="39"/>
      <c r="D26" s="39"/>
      <c r="E26" s="39"/>
      <c r="F26" s="39"/>
      <c r="G26" s="39"/>
      <c r="H26" s="39"/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38.25" customHeight="1" thickBot="1">
      <c r="A27" s="61" t="s">
        <v>19</v>
      </c>
      <c r="B27" s="44"/>
      <c r="C27" s="62" t="s">
        <v>20</v>
      </c>
      <c r="D27" s="49"/>
      <c r="E27" s="63" t="s">
        <v>21</v>
      </c>
      <c r="F27" s="44"/>
      <c r="G27" s="64" t="s">
        <v>22</v>
      </c>
      <c r="H27" s="49"/>
      <c r="I27" s="63" t="s">
        <v>23</v>
      </c>
      <c r="J27" s="6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6.5" customHeight="1" thickBot="1">
      <c r="A28" s="66">
        <v>70</v>
      </c>
      <c r="B28" s="44"/>
      <c r="C28" s="67">
        <v>7.01</v>
      </c>
      <c r="D28" s="49"/>
      <c r="E28" s="67">
        <v>7</v>
      </c>
      <c r="F28" s="49"/>
      <c r="G28" s="67">
        <v>7.88</v>
      </c>
      <c r="H28" s="49"/>
      <c r="I28" s="67">
        <v>124.18</v>
      </c>
      <c r="J28" s="6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ht="16.5" customHeight="1" thickBot="1">
      <c r="A29" s="66">
        <v>100</v>
      </c>
      <c r="B29" s="69"/>
      <c r="C29" s="67">
        <v>10.02</v>
      </c>
      <c r="D29" s="68"/>
      <c r="E29" s="67">
        <v>10</v>
      </c>
      <c r="F29" s="68"/>
      <c r="G29" s="67">
        <v>11.25</v>
      </c>
      <c r="H29" s="68"/>
      <c r="I29" s="67">
        <v>177.4</v>
      </c>
      <c r="J29" s="6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6.5" customHeight="1" thickBot="1">
      <c r="A30" s="66">
        <v>120</v>
      </c>
      <c r="B30" s="44"/>
      <c r="C30" s="67">
        <v>12.02</v>
      </c>
      <c r="D30" s="49"/>
      <c r="E30" s="67">
        <v>12</v>
      </c>
      <c r="F30" s="49"/>
      <c r="G30" s="70">
        <v>13.5</v>
      </c>
      <c r="H30" s="71"/>
      <c r="I30" s="67">
        <v>212.88</v>
      </c>
      <c r="J30" s="6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8.75" customHeight="1">
      <c r="A31" s="1"/>
      <c r="B31" s="7"/>
      <c r="C31" s="7"/>
      <c r="D31" s="7"/>
      <c r="E31" s="7"/>
      <c r="F31" s="7"/>
      <c r="G31" s="7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customHeight="1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customHeight="1">
      <c r="A34" s="72"/>
      <c r="B34" s="39"/>
      <c r="C34" s="40"/>
      <c r="D34" s="39"/>
      <c r="E34" s="72"/>
      <c r="F34" s="39"/>
      <c r="I34" s="72"/>
      <c r="J34" s="7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customHeight="1">
      <c r="A35" s="73"/>
      <c r="B35" s="39"/>
      <c r="C35" s="74"/>
      <c r="D35" s="39"/>
      <c r="E35" s="74"/>
      <c r="F35" s="39"/>
      <c r="I35" s="74"/>
      <c r="J35" s="7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customHeight="1">
      <c r="A36" s="75"/>
      <c r="B36" s="39"/>
      <c r="C36" s="74"/>
      <c r="D36" s="39"/>
      <c r="E36" s="74"/>
      <c r="F36" s="39"/>
      <c r="I36" s="74"/>
      <c r="J36" s="7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customHeight="1">
      <c r="A37" s="75"/>
      <c r="B37" s="39"/>
      <c r="C37" s="76"/>
      <c r="D37" s="39"/>
      <c r="E37" s="76"/>
      <c r="F37" s="39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customHeight="1">
      <c r="A38" s="75"/>
      <c r="B38" s="39"/>
      <c r="C38" s="74"/>
      <c r="D38" s="39"/>
      <c r="E38" s="74"/>
      <c r="F38" s="39"/>
      <c r="I38" s="74"/>
      <c r="J38" s="7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customHeight="1">
      <c r="A39" s="75"/>
      <c r="B39" s="39"/>
      <c r="C39" s="74"/>
      <c r="D39" s="39"/>
      <c r="E39" s="74"/>
      <c r="F39" s="39"/>
      <c r="I39" s="74"/>
      <c r="J39" s="7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customHeight="1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2.75" customHeight="1">
      <c r="A43" s="72"/>
      <c r="B43" s="39"/>
      <c r="C43" s="40"/>
      <c r="D43" s="39"/>
      <c r="E43" s="72"/>
      <c r="F43" s="39"/>
      <c r="I43" s="72"/>
      <c r="J43" s="7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2.75" customHeight="1">
      <c r="A44" s="73"/>
      <c r="B44" s="39"/>
      <c r="C44" s="74"/>
      <c r="D44" s="39"/>
      <c r="E44" s="74"/>
      <c r="F44" s="39"/>
      <c r="I44" s="74"/>
      <c r="J44" s="7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2.75" customHeight="1">
      <c r="A45" s="75"/>
      <c r="B45" s="39"/>
      <c r="C45" s="74"/>
      <c r="D45" s="39"/>
      <c r="E45" s="74"/>
      <c r="F45" s="39"/>
      <c r="I45" s="74"/>
      <c r="J45" s="7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2.75" customHeight="1">
      <c r="A46" s="75"/>
      <c r="B46" s="39"/>
      <c r="C46" s="76"/>
      <c r="D46" s="39"/>
      <c r="E46" s="76"/>
      <c r="F46" s="39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2.75" customHeight="1">
      <c r="A47" s="75"/>
      <c r="B47" s="39"/>
      <c r="C47" s="74"/>
      <c r="D47" s="39"/>
      <c r="E47" s="74"/>
      <c r="F47" s="39"/>
      <c r="I47" s="74"/>
      <c r="J47" s="7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/>
    <row r="233" spans="1:21" ht="15.75" customHeight="1"/>
    <row r="234" spans="1:21" ht="15.75" customHeight="1"/>
    <row r="235" spans="1:21" ht="15.75" customHeight="1"/>
    <row r="236" spans="1:21" ht="15.75" customHeight="1"/>
    <row r="237" spans="1:21" ht="15.75" customHeight="1"/>
    <row r="238" spans="1:21" ht="15.75" customHeight="1"/>
    <row r="239" spans="1:21" ht="15.75" customHeight="1"/>
    <row r="240" spans="1:2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82">
    <mergeCell ref="I43:J43"/>
    <mergeCell ref="A47:B47"/>
    <mergeCell ref="C47:D47"/>
    <mergeCell ref="E47:F47"/>
    <mergeCell ref="I47:J47"/>
    <mergeCell ref="A45:B45"/>
    <mergeCell ref="C45:D45"/>
    <mergeCell ref="E45:F45"/>
    <mergeCell ref="I45:J45"/>
    <mergeCell ref="A46:B46"/>
    <mergeCell ref="C46:D46"/>
    <mergeCell ref="E46:F46"/>
    <mergeCell ref="I46:J46"/>
    <mergeCell ref="A44:B44"/>
    <mergeCell ref="C44:D44"/>
    <mergeCell ref="E44:F44"/>
    <mergeCell ref="I44:J44"/>
    <mergeCell ref="A38:B38"/>
    <mergeCell ref="C38:D38"/>
    <mergeCell ref="E38:F38"/>
    <mergeCell ref="I38:J38"/>
    <mergeCell ref="A39:B39"/>
    <mergeCell ref="C39:D39"/>
    <mergeCell ref="E39:F39"/>
    <mergeCell ref="I39:J39"/>
    <mergeCell ref="A42:J42"/>
    <mergeCell ref="A43:B43"/>
    <mergeCell ref="C43:D43"/>
    <mergeCell ref="E43:F43"/>
    <mergeCell ref="A36:B36"/>
    <mergeCell ref="C36:D36"/>
    <mergeCell ref="E36:F36"/>
    <mergeCell ref="I36:J36"/>
    <mergeCell ref="A37:B37"/>
    <mergeCell ref="C37:D37"/>
    <mergeCell ref="E37:F37"/>
    <mergeCell ref="I37:J37"/>
    <mergeCell ref="A34:B34"/>
    <mergeCell ref="C34:D34"/>
    <mergeCell ref="E34:F34"/>
    <mergeCell ref="I34:J34"/>
    <mergeCell ref="A35:B35"/>
    <mergeCell ref="C35:D35"/>
    <mergeCell ref="E35:F35"/>
    <mergeCell ref="I35:J35"/>
    <mergeCell ref="A30:B30"/>
    <mergeCell ref="C30:D30"/>
    <mergeCell ref="E30:F30"/>
    <mergeCell ref="G30:H30"/>
    <mergeCell ref="I30:J30"/>
    <mergeCell ref="A33:J33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J26"/>
    <mergeCell ref="A6:J6"/>
    <mergeCell ref="A7:J7"/>
    <mergeCell ref="A8:A9"/>
    <mergeCell ref="C8:D8"/>
    <mergeCell ref="E8:J8"/>
    <mergeCell ref="A19:B19"/>
    <mergeCell ref="C19:D19"/>
    <mergeCell ref="E19:F19"/>
    <mergeCell ref="I19:J19"/>
    <mergeCell ref="G19:H19"/>
    <mergeCell ref="A20:J20"/>
    <mergeCell ref="A21:J21"/>
    <mergeCell ref="A22:J23"/>
    <mergeCell ref="A24:F24"/>
    <mergeCell ref="A25:J2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Січеники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Жемчужина</cp:lastModifiedBy>
  <dcterms:created xsi:type="dcterms:W3CDTF">2022-02-14T08:21:07Z</dcterms:created>
  <dcterms:modified xsi:type="dcterms:W3CDTF">2026-07-23T11:33:12Z</dcterms:modified>
</cp:coreProperties>
</file>